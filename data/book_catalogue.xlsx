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Bianconiglio\Desktop\LibraryApp\data\"/>
    </mc:Choice>
  </mc:AlternateContent>
  <xr:revisionPtr revIDLastSave="0" documentId="13_ncr:1_{6B7AB85C-2805-4950-8CBF-5FE39530DF05}" xr6:coauthVersionLast="47" xr6:coauthVersionMax="47" xr10:uidLastSave="{00000000-0000-0000-0000-000000000000}"/>
  <bookViews>
    <workbookView xWindow="-108" yWindow="-108" windowWidth="23256" windowHeight="13176" xr2:uid="{00000000-000D-0000-FFFF-FFFF00000000}"/>
  </bookViews>
  <sheets>
    <sheet name="data" sheetId="11" r:id="rId1"/>
    <sheet name="personal_library_catalogue" sheetId="1" r:id="rId2"/>
    <sheet name="data_validation" sheetId="7" r:id="rId3"/>
    <sheet name="book_category_classification" sheetId="2" r:id="rId4"/>
  </sheets>
  <definedNames>
    <definedName name="DatiEsterni_1" localSheetId="0" hidden="1">data!$A$1:$AP$771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30" i="1" l="1"/>
  <c r="AH20" i="1"/>
  <c r="AH57" i="1"/>
  <c r="AH59" i="1"/>
  <c r="AH141" i="1"/>
  <c r="AH143" i="1"/>
  <c r="AH158" i="1"/>
  <c r="AH196" i="1"/>
  <c r="AH201" i="1"/>
  <c r="AH224" i="1"/>
  <c r="G200" i="2"/>
  <c r="F200" i="2"/>
  <c r="E200" i="2"/>
  <c r="D200" i="2"/>
  <c r="C200" i="2"/>
  <c r="B200" i="2"/>
  <c r="A20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BF7641-A6FE-4B4D-BF18-44CA2BF85B4E}" keepAlive="1" name="Query - Tabella1" description="Connessione alla query 'Tabella1' nella cartella di lavoro." type="5" refreshedVersion="8" background="1" saveData="1">
    <dbPr connection="Provider=Microsoft.Mashup.OleDb.1;Data Source=$Workbook$;Location=Tabella1;Extended Properties=&quot;&quot;" command="SELECT * FROM [Tabella1]"/>
  </connection>
  <connection id="2" xr16:uid="{3E0BB4E2-205A-42AB-9B95-5BB352110B90}" keepAlive="1" name="Query - Tabella1 (2)" description="Connessione alla query 'Tabella1 (2)' nella cartella di lavoro." type="5" refreshedVersion="8" background="1" saveData="1">
    <dbPr connection="Provider=Microsoft.Mashup.OleDb.1;Data Source=$Workbook$;Location=&quot;Tabella1 (2)&quot;;Extended Properties=&quot;&quot;" command="SELECT * FROM [Tabella1 (2)]"/>
  </connection>
</connections>
</file>

<file path=xl/sharedStrings.xml><?xml version="1.0" encoding="utf-8"?>
<sst xmlns="http://schemas.openxmlformats.org/spreadsheetml/2006/main" count="5860" uniqueCount="1490">
  <si>
    <t>Autore</t>
  </si>
  <si>
    <t>Genere</t>
  </si>
  <si>
    <t>Lingua originale</t>
  </si>
  <si>
    <t>Editore</t>
  </si>
  <si>
    <t>Le cronache di Narnia</t>
  </si>
  <si>
    <t>Lewis Clive Staples</t>
  </si>
  <si>
    <t>Narrativa</t>
  </si>
  <si>
    <t>Inglese</t>
  </si>
  <si>
    <t>Mondadori</t>
  </si>
  <si>
    <t>Le Guin Ursula Kroeber</t>
  </si>
  <si>
    <t>Peter Pan</t>
  </si>
  <si>
    <t>BUR</t>
  </si>
  <si>
    <t>Nazionalità autore</t>
  </si>
  <si>
    <t>Britannica</t>
  </si>
  <si>
    <t>Statunitense</t>
  </si>
  <si>
    <t>Newton Compton Editori</t>
  </si>
  <si>
    <t>Il mago di Oz</t>
  </si>
  <si>
    <t>DeAgostini</t>
  </si>
  <si>
    <t xml:space="preserve">Baum Lyman Frank </t>
  </si>
  <si>
    <t>Barrie James Matthew</t>
  </si>
  <si>
    <t>Fanucci Editore</t>
  </si>
  <si>
    <t>Italiano</t>
  </si>
  <si>
    <t>Italiana</t>
  </si>
  <si>
    <t>Le avventure di Pinocchio</t>
  </si>
  <si>
    <t>Britannica; Britannica</t>
  </si>
  <si>
    <t>Sette minuti dopo la mezzanotte</t>
  </si>
  <si>
    <t>Ness Patrick; Dowd Siobhan</t>
  </si>
  <si>
    <t>La vita invisibile di Addie LaRue</t>
  </si>
  <si>
    <t>Schwab Victoria Elizabeth</t>
  </si>
  <si>
    <t>Rothfuss Patrick</t>
  </si>
  <si>
    <t>Il nome del vento</t>
  </si>
  <si>
    <t>Lo sguardo lento delle cose mute</t>
  </si>
  <si>
    <t>La paura del saggio</t>
  </si>
  <si>
    <t>Spiderwick le cronache</t>
  </si>
  <si>
    <t>Statunitense; Statunitense</t>
  </si>
  <si>
    <t>DiTerlizzi Tony; Black Holly</t>
  </si>
  <si>
    <t>Pullman Philip</t>
  </si>
  <si>
    <t>I figli della mezzanotte</t>
  </si>
  <si>
    <t xml:space="preserve">Rushdie Ahmed Salman  </t>
  </si>
  <si>
    <t>Garzanti</t>
  </si>
  <si>
    <t xml:space="preserve">Il serpente ouroboros </t>
  </si>
  <si>
    <t>Castelvecchi</t>
  </si>
  <si>
    <t xml:space="preserve">Eddison Eric Rücker </t>
  </si>
  <si>
    <t>Troisi Licia</t>
  </si>
  <si>
    <t>La storia infinita</t>
  </si>
  <si>
    <t>Ende Michael Andreas Helmuth</t>
  </si>
  <si>
    <t>Tedesca</t>
  </si>
  <si>
    <t>TEA</t>
  </si>
  <si>
    <t>Plesio</t>
  </si>
  <si>
    <t>Tedesco</t>
  </si>
  <si>
    <t>Questo non è un romanzo fantasy</t>
  </si>
  <si>
    <t>Gerilli Roberto</t>
  </si>
  <si>
    <t>Paolini Christopher James</t>
  </si>
  <si>
    <t>Eragon</t>
  </si>
  <si>
    <t>Eldest</t>
  </si>
  <si>
    <t>Brisingr</t>
  </si>
  <si>
    <t>Inheritance</t>
  </si>
  <si>
    <t>Ravasio Elvio</t>
  </si>
  <si>
    <t>Gribaudo</t>
  </si>
  <si>
    <t>Altèra</t>
  </si>
  <si>
    <t>I guerrieri di argento</t>
  </si>
  <si>
    <t>Kiria</t>
  </si>
  <si>
    <t>Onde del passato</t>
  </si>
  <si>
    <t xml:space="preserve">Sapkowski Andrzej </t>
  </si>
  <si>
    <t>Polacca</t>
  </si>
  <si>
    <t>Polacco</t>
  </si>
  <si>
    <t>Editrice Nord</t>
  </si>
  <si>
    <t>Il guardiano degi innocenti</t>
  </si>
  <si>
    <t>La spada del destino</t>
  </si>
  <si>
    <t>La stagione delle tempeste</t>
  </si>
  <si>
    <t>La signora del lago</t>
  </si>
  <si>
    <t xml:space="preserve">La torre della rondine </t>
  </si>
  <si>
    <t>Il battesimo del fuoco</t>
  </si>
  <si>
    <t>Il tempo della guerra</t>
  </si>
  <si>
    <t>Tolkien John Ronald Reuel</t>
  </si>
  <si>
    <t>Prosa</t>
  </si>
  <si>
    <t>Racconto</t>
  </si>
  <si>
    <t>Fiaba</t>
  </si>
  <si>
    <t>Storiografia</t>
  </si>
  <si>
    <t>Biografia</t>
  </si>
  <si>
    <t>Diario</t>
  </si>
  <si>
    <t>Romanzo</t>
  </si>
  <si>
    <t>Divulgativa</t>
  </si>
  <si>
    <t>Dialogo</t>
  </si>
  <si>
    <t>Trattato</t>
  </si>
  <si>
    <t>Saggio</t>
  </si>
  <si>
    <t>Opuscolo</t>
  </si>
  <si>
    <t>Aforisma</t>
  </si>
  <si>
    <t>Apologia</t>
  </si>
  <si>
    <t>Parabola</t>
  </si>
  <si>
    <t>Manifesto</t>
  </si>
  <si>
    <t>Emblematica</t>
  </si>
  <si>
    <t>Romanzo filosofico</t>
  </si>
  <si>
    <t>Romanzo d'inchiesta</t>
  </si>
  <si>
    <t>Eloquenza</t>
  </si>
  <si>
    <t>Oratoria</t>
  </si>
  <si>
    <t>Poesia</t>
  </si>
  <si>
    <t>Epica</t>
  </si>
  <si>
    <t>Poema epico</t>
  </si>
  <si>
    <t>Epillio</t>
  </si>
  <si>
    <t>Didascalica</t>
  </si>
  <si>
    <t>Profezia</t>
  </si>
  <si>
    <t>Lirica</t>
  </si>
  <si>
    <t>Sonetto</t>
  </si>
  <si>
    <t>Ballata</t>
  </si>
  <si>
    <t>Teatro</t>
  </si>
  <si>
    <t>Teatro di prosa</t>
  </si>
  <si>
    <t>Teatro di musica</t>
  </si>
  <si>
    <t>Tragedia</t>
  </si>
  <si>
    <t>Commedia</t>
  </si>
  <si>
    <t>Opera</t>
  </si>
  <si>
    <t>Bompiani</t>
  </si>
  <si>
    <t>Il cacciatore di draghi</t>
  </si>
  <si>
    <t>Lo Hobbit</t>
  </si>
  <si>
    <t>Lettere 1914/1973</t>
  </si>
  <si>
    <t>Casa di Foglie</t>
  </si>
  <si>
    <t>66THAND2ND</t>
  </si>
  <si>
    <t xml:space="preserve">Danielewski Mark Z. </t>
  </si>
  <si>
    <t>L'incal. Integrale + I misteri dell'incal</t>
  </si>
  <si>
    <t>Terramare. La saga completa</t>
  </si>
  <si>
    <t>Queste oscure materie. La trilogia completa</t>
  </si>
  <si>
    <t>Cronache del Mondo Emerso. La trilogia completa</t>
  </si>
  <si>
    <t>Il signore degli anelli. La compagnia dell'anello</t>
  </si>
  <si>
    <t>Il signore degli anelli. Le due torri</t>
  </si>
  <si>
    <t>Il signore degli anelli. Il ritorno del re</t>
  </si>
  <si>
    <t>Francese; Francese</t>
  </si>
  <si>
    <t>Francese</t>
  </si>
  <si>
    <t>Alice nel paese delle meraviglie</t>
  </si>
  <si>
    <t>Il mondo di Alice</t>
  </si>
  <si>
    <t>Alice al di là dello specchio</t>
  </si>
  <si>
    <t>L'Ippocampo</t>
  </si>
  <si>
    <t>Bloomsbury</t>
  </si>
  <si>
    <t>Harry Potter. The complete collection</t>
  </si>
  <si>
    <t>Harry Potter e la pietra filosofale</t>
  </si>
  <si>
    <t>Harry Potter e la camera dei segreti</t>
  </si>
  <si>
    <t>Harry Potter e il prigioniero di Azkaban</t>
  </si>
  <si>
    <t>Harry Potter e il calice di fuoco</t>
  </si>
  <si>
    <t>Harry Potter e l'ordine della fenice</t>
  </si>
  <si>
    <t>Harry Potter e il principe mezzosangue</t>
  </si>
  <si>
    <t>Harry Potter e i doni della morte</t>
  </si>
  <si>
    <t>Le fiabe di Beda il bardo</t>
  </si>
  <si>
    <t>Gli animali fantastici: dove trovarli</t>
  </si>
  <si>
    <t>Il quidditch attraverso i secoli</t>
  </si>
  <si>
    <t>Salani Editore</t>
  </si>
  <si>
    <t>Harry Potter e la maledizione dell'erede</t>
  </si>
  <si>
    <t>Animali fantastici e dove trovarli</t>
  </si>
  <si>
    <t>Animali fantastici. I crimini di Grindelwald</t>
  </si>
  <si>
    <t>Animali fantastici. I segreti di Silente</t>
  </si>
  <si>
    <t>Britannica; Britannica; Britannica</t>
  </si>
  <si>
    <t>Britannica; Statunitense</t>
  </si>
  <si>
    <t>Delosbooks</t>
  </si>
  <si>
    <t>L'incantesimo Harry Potter</t>
  </si>
  <si>
    <t>Piemme</t>
  </si>
  <si>
    <t>Lexicon. Guida non autorizzata ai romanzi e al mondo di Harry Potter</t>
  </si>
  <si>
    <t>Harry Potter. Un Viaggio nella storia della magia</t>
  </si>
  <si>
    <t>Mary Popper e la pietra magica</t>
  </si>
  <si>
    <t>Gargione Gianni</t>
  </si>
  <si>
    <t>Mondolibri</t>
  </si>
  <si>
    <t xml:space="preserve">Uhlman Fred </t>
  </si>
  <si>
    <t>Feltrinelli</t>
  </si>
  <si>
    <t>L'amico ritrovato</t>
  </si>
  <si>
    <t xml:space="preserve">Vizzini Edison Price </t>
  </si>
  <si>
    <t>Mi ammazzo, per il resto tutto ok</t>
  </si>
  <si>
    <t xml:space="preserve">Asher Jay </t>
  </si>
  <si>
    <t>Tredici</t>
  </si>
  <si>
    <t xml:space="preserve">Green John Michael </t>
  </si>
  <si>
    <t>Rizzoli</t>
  </si>
  <si>
    <t>Colpa delle stelle</t>
  </si>
  <si>
    <t xml:space="preserve">Cercando Alaska </t>
  </si>
  <si>
    <t xml:space="preserve">Okazaki Hideo; Kamimura Kazuo </t>
  </si>
  <si>
    <t>Giapponese; Giapponese</t>
  </si>
  <si>
    <t>Giapponese</t>
  </si>
  <si>
    <t>J-POP</t>
  </si>
  <si>
    <t>I fiori del male</t>
  </si>
  <si>
    <t>Noi siamo infinito</t>
  </si>
  <si>
    <t xml:space="preserve">Chbosky Stephen </t>
  </si>
  <si>
    <t>Sperling &amp; Kupfer</t>
  </si>
  <si>
    <t>Divergent. La serie</t>
  </si>
  <si>
    <t xml:space="preserve">Roth Veronica Anne </t>
  </si>
  <si>
    <t>DeA</t>
  </si>
  <si>
    <t>The host. L'ospite</t>
  </si>
  <si>
    <t xml:space="preserve">Meyer Stephenie Morgan </t>
  </si>
  <si>
    <t xml:space="preserve">Statunitense </t>
  </si>
  <si>
    <t>Hunger games</t>
  </si>
  <si>
    <t>Hunger games: il canto della rivolta</t>
  </si>
  <si>
    <t>Hunger games: la ragazza di fuoco</t>
  </si>
  <si>
    <t>Robin Hood. Il principe dei ladri</t>
  </si>
  <si>
    <t xml:space="preserve">Gribaudo </t>
  </si>
  <si>
    <t>Ungherese</t>
  </si>
  <si>
    <t>Data di nascita</t>
  </si>
  <si>
    <t>Data di morte</t>
  </si>
  <si>
    <t xml:space="preserve">Paterson Katherine </t>
  </si>
  <si>
    <t>Un ponte per Terabithia</t>
  </si>
  <si>
    <t>09/05/1860</t>
  </si>
  <si>
    <t>15/05/1856</t>
  </si>
  <si>
    <t xml:space="preserve">Collins Suzanne </t>
  </si>
  <si>
    <t>24/11/1826</t>
  </si>
  <si>
    <t>26/10/1890</t>
  </si>
  <si>
    <t>06/09/1969;  10/11/1971</t>
  </si>
  <si>
    <t>27/01/1832</t>
  </si>
  <si>
    <t>14/01/1898</t>
  </si>
  <si>
    <t>24/11/1882</t>
  </si>
  <si>
    <t>?</t>
  </si>
  <si>
    <t>17/02/1929; 08/05/1938</t>
  </si>
  <si>
    <t>In vita</t>
  </si>
  <si>
    <t>In vita; In vita</t>
  </si>
  <si>
    <t>In vita;  10/03/2012</t>
  </si>
  <si>
    <t>29/11/1898</t>
  </si>
  <si>
    <t>03/01/1892</t>
  </si>
  <si>
    <t>.</t>
  </si>
  <si>
    <t>24/07/1802</t>
  </si>
  <si>
    <t>05/12/1870</t>
  </si>
  <si>
    <t>12/01/1878</t>
  </si>
  <si>
    <t>?/?/1964</t>
  </si>
  <si>
    <t>17/10/1971; 04/02/1960</t>
  </si>
  <si>
    <t>In vita; 21/10/2007</t>
  </si>
  <si>
    <t>11/08/1943; 07/03/1940</t>
  </si>
  <si>
    <t>12/05/2022; 11/01/1986</t>
  </si>
  <si>
    <t>31/07/1965; 18/03/1960</t>
  </si>
  <si>
    <t>In vita; In vita; In vita</t>
  </si>
  <si>
    <t>31/07/1965; ?/?/1971; 06/12/1978</t>
  </si>
  <si>
    <t>Il piccolo principe</t>
  </si>
  <si>
    <t xml:space="preserve">de Saint-Exupéry Antoine Jean Baptiste Marie Roger </t>
  </si>
  <si>
    <t xml:space="preserve"> 29/06/1900</t>
  </si>
  <si>
    <t>Guida galattica per gli autostoppisti. Il ciclo completo</t>
  </si>
  <si>
    <t xml:space="preserve">Adams Douglas Noël </t>
  </si>
  <si>
    <t>Britannico</t>
  </si>
  <si>
    <t>La principessa e i goblini</t>
  </si>
  <si>
    <t>Collocazione</t>
  </si>
  <si>
    <t xml:space="preserve">MacDonald George </t>
  </si>
  <si>
    <t>10/12/1824</t>
  </si>
  <si>
    <t xml:space="preserve"> 18/09/1905</t>
  </si>
  <si>
    <t>Lindau</t>
  </si>
  <si>
    <t>Scozzese</t>
  </si>
  <si>
    <t>Grisham John Ray Jr.</t>
  </si>
  <si>
    <t>Il broker</t>
  </si>
  <si>
    <t xml:space="preserve"> Il giro del mondo in 80 giorni</t>
  </si>
  <si>
    <t xml:space="preserve">Verne Jules Gabriel </t>
  </si>
  <si>
    <t>08/02/1828</t>
  </si>
  <si>
    <t>Cuore</t>
  </si>
  <si>
    <t xml:space="preserve">De Amicis Edmondo Mario Alberto </t>
  </si>
  <si>
    <t>21/10/1846</t>
  </si>
  <si>
    <t>Insolito libro</t>
  </si>
  <si>
    <t>Ventimila leghe sotto i mari</t>
  </si>
  <si>
    <t xml:space="preserve">Golding William Gerald </t>
  </si>
  <si>
    <t>Il signore delle mosche</t>
  </si>
  <si>
    <t xml:space="preserve">Lee Nelle Harper </t>
  </si>
  <si>
    <t xml:space="preserve">Il buio oltre la siepe </t>
  </si>
  <si>
    <t>L'incendiaria</t>
  </si>
  <si>
    <t xml:space="preserve">King Stephen Edwin </t>
  </si>
  <si>
    <t xml:space="preserve">Lodi Mario </t>
  </si>
  <si>
    <t>Giunti</t>
  </si>
  <si>
    <t xml:space="preserve">Il mistero del cane </t>
  </si>
  <si>
    <t xml:space="preserve">Afanas'ev Aleksandr Nikolaevič  </t>
  </si>
  <si>
    <t>Russo</t>
  </si>
  <si>
    <t>Russa</t>
  </si>
  <si>
    <t>11/07/1826</t>
  </si>
  <si>
    <t>23/09/1871</t>
  </si>
  <si>
    <t>Occhi dal futuro</t>
  </si>
  <si>
    <t xml:space="preserve">Robert Silverberg </t>
  </si>
  <si>
    <t xml:space="preserve">Lovecraft Howard Phillips </t>
  </si>
  <si>
    <t>L'opera completa</t>
  </si>
  <si>
    <t>20/08/1890</t>
  </si>
  <si>
    <t>Il maestro e margherita</t>
  </si>
  <si>
    <t xml:space="preserve">Bulgàkov Michail Afanas'evič </t>
  </si>
  <si>
    <t>15/05/1891</t>
  </si>
  <si>
    <t>La passeggiata</t>
  </si>
  <si>
    <t xml:space="preserve">Walser Robert </t>
  </si>
  <si>
    <t>15/04/1878</t>
  </si>
  <si>
    <t>Adelphi</t>
  </si>
  <si>
    <t xml:space="preserve">Saramago José de Sousa </t>
  </si>
  <si>
    <t>Portoghese</t>
  </si>
  <si>
    <t>Il vangelo secondo Gesù Cristo</t>
  </si>
  <si>
    <t xml:space="preserve">Coelho de Souza Paulo </t>
  </si>
  <si>
    <t>La nave di teseo</t>
  </si>
  <si>
    <t>Veronika decide di morire</t>
  </si>
  <si>
    <t>Spagnolo</t>
  </si>
  <si>
    <t>Einaudi</t>
  </si>
  <si>
    <t>Il paradiso è altrove</t>
  </si>
  <si>
    <t xml:space="preserve">Hašek Jaroslav </t>
  </si>
  <si>
    <t>30/04/1883</t>
  </si>
  <si>
    <t>Ceco</t>
  </si>
  <si>
    <t>Ceca</t>
  </si>
  <si>
    <t>Svizzera</t>
  </si>
  <si>
    <t>Brasiliana</t>
  </si>
  <si>
    <t>Spagnola</t>
  </si>
  <si>
    <t>Le avventure del buon soldato Švejk nella Grande Guerra</t>
  </si>
  <si>
    <t xml:space="preserve">Dostoevskij Fëdor Michajlovič </t>
  </si>
  <si>
    <t>Le notti bianche. La cronaca di Pietroburgo</t>
  </si>
  <si>
    <t>La rabbia e altre storie</t>
  </si>
  <si>
    <t>11/11/1821</t>
  </si>
  <si>
    <t>09/02/1881</t>
  </si>
  <si>
    <t xml:space="preserve">Ibáñez Vicente Blasco </t>
  </si>
  <si>
    <t>29/01/1867</t>
  </si>
  <si>
    <t>Edizioni Spartaco</t>
  </si>
  <si>
    <t>Il club Dumas</t>
  </si>
  <si>
    <t xml:space="preserve">Pérez-Reverte Arturo </t>
  </si>
  <si>
    <t>Marco TropeaEditore</t>
  </si>
  <si>
    <t>Tre uomini in barca (per non parlar del cane)</t>
  </si>
  <si>
    <t>Jerome Klapka Jerome</t>
  </si>
  <si>
    <t>02/05/1859</t>
  </si>
  <si>
    <t>Moby Dick o la Balena</t>
  </si>
  <si>
    <t xml:space="preserve">Melville Herman </t>
  </si>
  <si>
    <t>01/08/1819</t>
  </si>
  <si>
    <t>28/09/1891</t>
  </si>
  <si>
    <t>La lettera scarlatta</t>
  </si>
  <si>
    <t xml:space="preserve">Hawthorne Nathaniel </t>
  </si>
  <si>
    <t>04/07/1804</t>
  </si>
  <si>
    <t>19/05/1864</t>
  </si>
  <si>
    <t>Storia di un corpo</t>
  </si>
  <si>
    <t>Il grande Gatsby</t>
  </si>
  <si>
    <t xml:space="preserve">Fitzgerald Francis Scott </t>
  </si>
  <si>
    <t>24/09/1896</t>
  </si>
  <si>
    <t xml:space="preserve">O'Hara John Henry </t>
  </si>
  <si>
    <t>Appuntamento a Samarra</t>
  </si>
  <si>
    <t xml:space="preserve">Cesare Gaio Giulio </t>
  </si>
  <si>
    <t>13/07/101 a.C. o 12/07/100 a.C.</t>
  </si>
  <si>
    <t>15/03/44 a.C.</t>
  </si>
  <si>
    <t>Romano</t>
  </si>
  <si>
    <t>Latino</t>
  </si>
  <si>
    <t>Le guerre</t>
  </si>
  <si>
    <t>Il conte di Montecristo</t>
  </si>
  <si>
    <t>Fabbri Editori</t>
  </si>
  <si>
    <t>Lettere a Milena</t>
  </si>
  <si>
    <t xml:space="preserve">Kafka Franz </t>
  </si>
  <si>
    <t>03/07/1883</t>
  </si>
  <si>
    <t>La metamorfosi e tutti i racconti pubblicati in vita</t>
  </si>
  <si>
    <t xml:space="preserve">Camilleri Andrea Calogero </t>
  </si>
  <si>
    <t>Storie di Montalbano</t>
  </si>
  <si>
    <t xml:space="preserve">Montanelli Indro Alessandro Raffaello Schizògene </t>
  </si>
  <si>
    <t>I libelli</t>
  </si>
  <si>
    <t xml:space="preserve">Mann Paul Thomas </t>
  </si>
  <si>
    <t>06/06/1875</t>
  </si>
  <si>
    <t>Dall'Oglio Editore</t>
  </si>
  <si>
    <t>La montagna incantata</t>
  </si>
  <si>
    <t>Arancia meccanica</t>
  </si>
  <si>
    <t xml:space="preserve">Burgess Wilson John Anthony </t>
  </si>
  <si>
    <t>Kalevala</t>
  </si>
  <si>
    <t xml:space="preserve">Lönnrot Elias </t>
  </si>
  <si>
    <t>09/04/1802</t>
  </si>
  <si>
    <t>19/03/1884</t>
  </si>
  <si>
    <t>Finlandese</t>
  </si>
  <si>
    <t>?/?/1943</t>
  </si>
  <si>
    <t>Edizioni e/o</t>
  </si>
  <si>
    <t>L'amica geniale. Volume primo</t>
  </si>
  <si>
    <t>Storia del nuovo cognome. L'amica geniale. Volume secondo</t>
  </si>
  <si>
    <t>Storia di chi fugge e di chi resta. L'amica geniale. Volume terzo</t>
  </si>
  <si>
    <t>Storia della bambina perduta. L'amica geniale. Quarto e ultmo volume</t>
  </si>
  <si>
    <t xml:space="preserve">Ludlum Robert </t>
  </si>
  <si>
    <t>Un nome senza volto. The Bourne identity</t>
  </si>
  <si>
    <t>Doppio inganno. The Bourne supremacy</t>
  </si>
  <si>
    <t>Il ritorno dello sciacallo. The Bourne ultimatum</t>
  </si>
  <si>
    <t xml:space="preserve">Matheson Richard Burton </t>
  </si>
  <si>
    <t>Tutti i racconti. Vol. 1 1950-1953</t>
  </si>
  <si>
    <t>Tutti i racconti. Vol. 2 1954-1959</t>
  </si>
  <si>
    <t>Tutti i racconti. Vol. 3 1960-1993</t>
  </si>
  <si>
    <t>Tutti i racconti. Vol. 4 1999-2010</t>
  </si>
  <si>
    <t>Io sono leggenda</t>
  </si>
  <si>
    <t xml:space="preserve">Charrière Henri </t>
  </si>
  <si>
    <t>Papillon</t>
  </si>
  <si>
    <t>Banco</t>
  </si>
  <si>
    <t>Conrad Joseph</t>
  </si>
  <si>
    <t>03/12/1857</t>
  </si>
  <si>
    <t>Cuore di tenebra</t>
  </si>
  <si>
    <t>La linea d'ombra</t>
  </si>
  <si>
    <t>La fattoria degli animali</t>
  </si>
  <si>
    <t xml:space="preserve">Molnár Ferenc </t>
  </si>
  <si>
    <t>I capolavori di Virginia Woolf</t>
  </si>
  <si>
    <t xml:space="preserve">Woolf Adeline Virginia </t>
  </si>
  <si>
    <t>25/01/1882</t>
  </si>
  <si>
    <t>Dedalus</t>
  </si>
  <si>
    <t xml:space="preserve">Joyce James Augustine Aloysius </t>
  </si>
  <si>
    <t>02/02/1882</t>
  </si>
  <si>
    <t xml:space="preserve">Palahniuk Charles Michael </t>
  </si>
  <si>
    <t>Fight Club</t>
  </si>
  <si>
    <t>Soffocare</t>
  </si>
  <si>
    <t>Invisible Monster</t>
  </si>
  <si>
    <t>Calvino Italo</t>
  </si>
  <si>
    <t>I nostri antenati. Il visconte dimezzato. Il barone rampante. Il cavaliere inesistente</t>
  </si>
  <si>
    <t>Se una notte d'inverno un viaggiatore</t>
  </si>
  <si>
    <t>Guida alla storia romana</t>
  </si>
  <si>
    <t>Clemente Guido</t>
  </si>
  <si>
    <t xml:space="preserve">Wilde Oscar Fingal O'Flahertie Wills </t>
  </si>
  <si>
    <t>16/10/1854</t>
  </si>
  <si>
    <t>Il ritratto di Dorian Gray. Il dattiloscritto originale non censurato</t>
  </si>
  <si>
    <t xml:space="preserve">Shaw George Bernard </t>
  </si>
  <si>
    <t>Irlandese</t>
  </si>
  <si>
    <t>26/07/1856</t>
  </si>
  <si>
    <t>Pigmalione</t>
  </si>
  <si>
    <t xml:space="preserve">Brontë Charlotte </t>
  </si>
  <si>
    <t>21/04/1816</t>
  </si>
  <si>
    <t>31/03/1855</t>
  </si>
  <si>
    <t>Jane Eyre</t>
  </si>
  <si>
    <t xml:space="preserve">Sterne Laurence </t>
  </si>
  <si>
    <t>24/11/1713</t>
  </si>
  <si>
    <t>18/03/1768</t>
  </si>
  <si>
    <t>La vita e le opinioni di Tristram Shandy, gentiluomo</t>
  </si>
  <si>
    <t xml:space="preserve">Milton John </t>
  </si>
  <si>
    <t>Paradiso perduto</t>
  </si>
  <si>
    <t>09/12/1608</t>
  </si>
  <si>
    <t>08/11/1674</t>
  </si>
  <si>
    <t>La regina Margot</t>
  </si>
  <si>
    <t>?/?/1922</t>
  </si>
  <si>
    <t>?/?/2018</t>
  </si>
  <si>
    <t>Islandese</t>
  </si>
  <si>
    <t>Iperborea</t>
  </si>
  <si>
    <t xml:space="preserve">Hjálmarsson Jón R. </t>
  </si>
  <si>
    <t>Atlante leggendario delle strade d'Islanda</t>
  </si>
  <si>
    <t>Madame Bovary</t>
  </si>
  <si>
    <t xml:space="preserve">Flaubert Gustave </t>
  </si>
  <si>
    <t>12/12/1821</t>
  </si>
  <si>
    <t>08/05/1880</t>
  </si>
  <si>
    <t xml:space="preserve">Queneau Raymond </t>
  </si>
  <si>
    <t>Esercizi di stile</t>
  </si>
  <si>
    <t xml:space="preserve">Baudelaire Charles Pierre </t>
  </si>
  <si>
    <t>I fiori del male e altre poesie</t>
  </si>
  <si>
    <t>09/04/1821</t>
  </si>
  <si>
    <t>31/08/1867</t>
  </si>
  <si>
    <t xml:space="preserve">Rostand Edmond Eugène Alexis </t>
  </si>
  <si>
    <t>01/04/1868</t>
  </si>
  <si>
    <t>Cyrano de Bergerac</t>
  </si>
  <si>
    <t xml:space="preserve">Lawrence David Herbert Richards </t>
  </si>
  <si>
    <t>L'amante di Lady Chatterley</t>
  </si>
  <si>
    <t xml:space="preserve">La biblioteca di Repubblica </t>
  </si>
  <si>
    <t>11/09/1885</t>
  </si>
  <si>
    <t>Omero</t>
  </si>
  <si>
    <t>Greca</t>
  </si>
  <si>
    <t xml:space="preserve">Greco antico </t>
  </si>
  <si>
    <t>Iliade</t>
  </si>
  <si>
    <t>Odissea</t>
  </si>
  <si>
    <t>VIII secolo a.C</t>
  </si>
  <si>
    <t>Prezzo di copertina</t>
  </si>
  <si>
    <t>Premio Nobel</t>
  </si>
  <si>
    <t>Premio Pulitzer</t>
  </si>
  <si>
    <t>Lingua copia posseduta</t>
  </si>
  <si>
    <t>Titolo copia posseduta</t>
  </si>
  <si>
    <t>Genere libro</t>
  </si>
  <si>
    <t>Peplum o Sword and sandal (sottogenere talvolta misto con Cappa e Spada)</t>
  </si>
  <si>
    <t>Singularity Fiction</t>
  </si>
  <si>
    <t>Swordpunk</t>
  </si>
  <si>
    <t>Rococopunk</t>
  </si>
  <si>
    <t>Realismo magico</t>
  </si>
  <si>
    <t>Spy story</t>
  </si>
  <si>
    <t>Thriller psicologico</t>
  </si>
  <si>
    <t>Thriller di spionaggio</t>
  </si>
  <si>
    <t>Pulp</t>
  </si>
  <si>
    <t>Tecnothriller (talvolta misto con la fantascienza)</t>
  </si>
  <si>
    <t>Thriller politico</t>
  </si>
  <si>
    <t>Thriller cospirativo</t>
  </si>
  <si>
    <t>Enigma della camera chiusa</t>
  </si>
  <si>
    <t>Police procedural</t>
  </si>
  <si>
    <t>Libello</t>
  </si>
  <si>
    <t>Epistola in prosa (sottogenere dell'Epistola)</t>
  </si>
  <si>
    <t>Oratoria epidittica</t>
  </si>
  <si>
    <t>Oratoria giudiziaria</t>
  </si>
  <si>
    <t>Oratoria deliberativa</t>
  </si>
  <si>
    <t>Poema eroicomico</t>
  </si>
  <si>
    <t>Poema didattico-allegorico</t>
  </si>
  <si>
    <t>Poema didascalico</t>
  </si>
  <si>
    <t>Poema sapienziale</t>
  </si>
  <si>
    <t>Elegia</t>
  </si>
  <si>
    <t>Giambo</t>
  </si>
  <si>
    <t>Cinedio</t>
  </si>
  <si>
    <t>Meliambo</t>
  </si>
  <si>
    <t>Ditirambo</t>
  </si>
  <si>
    <t>Encomio</t>
  </si>
  <si>
    <t>Epicedio</t>
  </si>
  <si>
    <t>Epinicio</t>
  </si>
  <si>
    <t>Epitalamio</t>
  </si>
  <si>
    <t>Imeneo</t>
  </si>
  <si>
    <t>Inno</t>
  </si>
  <si>
    <t>Iporchema</t>
  </si>
  <si>
    <t>Nomo</t>
  </si>
  <si>
    <t>Partenio</t>
  </si>
  <si>
    <t>Peana</t>
  </si>
  <si>
    <t>Prosodio</t>
  </si>
  <si>
    <t>Scolio</t>
  </si>
  <si>
    <t>Treno</t>
  </si>
  <si>
    <t>Preghiera</t>
  </si>
  <si>
    <t>Lauda</t>
  </si>
  <si>
    <t>Poesia bucolica</t>
  </si>
  <si>
    <t>Satira</t>
  </si>
  <si>
    <t>Canzone</t>
  </si>
  <si>
    <t>Capitolo</t>
  </si>
  <si>
    <t>Carme</t>
  </si>
  <si>
    <t>Ode</t>
  </si>
  <si>
    <t>Madrigale</t>
  </si>
  <si>
    <t>Poemetto lirico</t>
  </si>
  <si>
    <t>Centone</t>
  </si>
  <si>
    <t>Verso libero</t>
  </si>
  <si>
    <t>Calligramma</t>
  </si>
  <si>
    <t>Epistola lirica (sottogenere dell'Epistola)</t>
  </si>
  <si>
    <t>Tragedia (in età antica rientra nel teatro di musica)</t>
  </si>
  <si>
    <t>Commedia (in età antica rientra nel teatro di musica)</t>
  </si>
  <si>
    <t>Mimo prosastico (sottogenere del Mimo)</t>
  </si>
  <si>
    <t>Mimo lirico (sottogenere del Mimo)</t>
  </si>
  <si>
    <t>Musicale (genere presente solo nel teatro moderno, chiamato "opera" in quello classico)</t>
  </si>
  <si>
    <t>Frammento</t>
  </si>
  <si>
    <t>Storico</t>
  </si>
  <si>
    <t>Fantastoria (sottogenere talvolta misto con il fantasy)</t>
  </si>
  <si>
    <t>Ucronia (sottogenere talvolta misto con la fantascienza)</t>
  </si>
  <si>
    <t>Cappa e spada o wuxia (in ambito orientale)</t>
  </si>
  <si>
    <t>Fantascienza</t>
  </si>
  <si>
    <t>Fantascienza tecnologica</t>
  </si>
  <si>
    <t>Cyberpunk</t>
  </si>
  <si>
    <t>Postcyberpunk</t>
  </si>
  <si>
    <t>Biopunk</t>
  </si>
  <si>
    <t>Nanopunk</t>
  </si>
  <si>
    <t>Dieselpunk</t>
  </si>
  <si>
    <t>Decopunk</t>
  </si>
  <si>
    <t>Sandalpunk</t>
  </si>
  <si>
    <t>Nowpunk</t>
  </si>
  <si>
    <t>Steampunk</t>
  </si>
  <si>
    <t>Solarpunk</t>
  </si>
  <si>
    <t>Space opera</t>
  </si>
  <si>
    <t>Space opera militare</t>
  </si>
  <si>
    <t>Space western (con una collocazione temporale passata rientrebbe nello steampunk)</t>
  </si>
  <si>
    <t>Xenofiction</t>
  </si>
  <si>
    <t>Apocalittico e postapocalittico</t>
  </si>
  <si>
    <t>Planetary romance e sword and planet</t>
  </si>
  <si>
    <t>Viaggi nel tempo (sottogenere talvolta presente in contesti fantasy o fantastici)</t>
  </si>
  <si>
    <t>New wave</t>
  </si>
  <si>
    <t>Edisonata</t>
  </si>
  <si>
    <t>Fantapolitica</t>
  </si>
  <si>
    <t>Utopia</t>
  </si>
  <si>
    <t>Distopia</t>
  </si>
  <si>
    <t>Fantasy</t>
  </si>
  <si>
    <t>High fantasy o fantasy epico</t>
  </si>
  <si>
    <t>Sword and sorcery</t>
  </si>
  <si>
    <t>Dark fantasy (può appartenere anche al sottogenere low fantasy)</t>
  </si>
  <si>
    <t>Low fantasy</t>
  </si>
  <si>
    <t>Fantasy contemporaneo</t>
  </si>
  <si>
    <t>Urban fantasy (non necessariamente, ma solitamente, ambientato ai tempi moderni)</t>
  </si>
  <si>
    <t>Bangsian fantasy</t>
  </si>
  <si>
    <t>Romanzo d'avventura</t>
  </si>
  <si>
    <t>Romanzo di formazione</t>
  </si>
  <si>
    <t>Romanzo d'appendice</t>
  </si>
  <si>
    <t>Romanzo per ragazzi</t>
  </si>
  <si>
    <t>Romanzo dell'orrore</t>
  </si>
  <si>
    <t>Gotico</t>
  </si>
  <si>
    <t>Romanzo d'azione</t>
  </si>
  <si>
    <t>Thriller (talvolta incluso nel giallo)</t>
  </si>
  <si>
    <t>Mystery thriller (talvolta misto con il giallo e sottogeneri)</t>
  </si>
  <si>
    <t>Noir thriller</t>
  </si>
  <si>
    <t>Action thriller</t>
  </si>
  <si>
    <t>Crime thriller</t>
  </si>
  <si>
    <t>Legal thriller</t>
  </si>
  <si>
    <t>Giallo</t>
  </si>
  <si>
    <t>Giallo giudiziario</t>
  </si>
  <si>
    <t>Giallo medico</t>
  </si>
  <si>
    <t>Noir</t>
  </si>
  <si>
    <t>Noir metropolitano</t>
  </si>
  <si>
    <t>Hard boiled</t>
  </si>
  <si>
    <t>Soft boiled</t>
  </si>
  <si>
    <t>Poliziesco</t>
  </si>
  <si>
    <t>Rosa</t>
  </si>
  <si>
    <t>Erotico</t>
  </si>
  <si>
    <t>Psicologico</t>
  </si>
  <si>
    <t>Umoristico</t>
  </si>
  <si>
    <t>Umorismo nero</t>
  </si>
  <si>
    <t>Parodia</t>
  </si>
  <si>
    <t>Sociale</t>
  </si>
  <si>
    <t>Epistolare</t>
  </si>
  <si>
    <t>Stessi sottogeneri del romanzo</t>
  </si>
  <si>
    <t>Favola in prosa (sottogenere della favola)</t>
  </si>
  <si>
    <t>Monografia</t>
  </si>
  <si>
    <t>Annali</t>
  </si>
  <si>
    <t>Cronaca</t>
  </si>
  <si>
    <t>Storia universale</t>
  </si>
  <si>
    <t>Autobiografia</t>
  </si>
  <si>
    <t>Memorialistica</t>
  </si>
  <si>
    <t>Privata (può rientrare nella narrativa)</t>
  </si>
  <si>
    <t>Pubblica</t>
  </si>
  <si>
    <t>Aretalogia (sottogenere della biografia)</t>
  </si>
  <si>
    <t>Agiografia (sottogenere della biografia)</t>
  </si>
  <si>
    <t>Biografia kerygmatica (sottogenere della biografia)</t>
  </si>
  <si>
    <t>Romanzo filosofico (sottogenere del romanzo)</t>
  </si>
  <si>
    <t>Romanzo d'inchiesta (sottogenere del romanzo)</t>
  </si>
  <si>
    <t>Mitologico</t>
  </si>
  <si>
    <t>Collettivo</t>
  </si>
  <si>
    <t>Epico-cavalleresco</t>
  </si>
  <si>
    <t>Poemetto epico</t>
  </si>
  <si>
    <t>Poemetto eroicomico</t>
  </si>
  <si>
    <t>Poemetto didattico-allegorico</t>
  </si>
  <si>
    <t>Poemetto didascalico</t>
  </si>
  <si>
    <t>Poemetto sapienziale</t>
  </si>
  <si>
    <t>Favola in versi (sottogenere della favola)</t>
  </si>
  <si>
    <t>Epistola filosofica in versi (sottogenere dell'Epistola)</t>
  </si>
  <si>
    <t>Lirica monodica</t>
  </si>
  <si>
    <t>Lirica corale</t>
  </si>
  <si>
    <t>Petrarchesca</t>
  </si>
  <si>
    <t>Libera</t>
  </si>
  <si>
    <t>Opera seria</t>
  </si>
  <si>
    <t>Opera buffa</t>
  </si>
  <si>
    <t>Operetta</t>
  </si>
  <si>
    <t>Farsa</t>
  </si>
  <si>
    <t>Mimiambo</t>
  </si>
  <si>
    <t>Ilarodia</t>
  </si>
  <si>
    <t>Magodia</t>
  </si>
  <si>
    <t>Categoria</t>
  </si>
  <si>
    <t>Sottogenere</t>
  </si>
  <si>
    <t>Tipo</t>
  </si>
  <si>
    <t>Sottotipo</t>
  </si>
  <si>
    <t>Variante</t>
  </si>
  <si>
    <t>Microvariante</t>
  </si>
  <si>
    <t>Favola in prosa</t>
  </si>
  <si>
    <t>Epistola in prosa</t>
  </si>
  <si>
    <t>Aretalogia</t>
  </si>
  <si>
    <t>Agiografia</t>
  </si>
  <si>
    <t>Biografia kerygmatica</t>
  </si>
  <si>
    <t>Favola in versi</t>
  </si>
  <si>
    <t>Epistola filosofica in versi</t>
  </si>
  <si>
    <t>Epistola lirica</t>
  </si>
  <si>
    <t>Mimo prosastico</t>
  </si>
  <si>
    <t>Mimo lirico</t>
  </si>
  <si>
    <t>Musicale</t>
  </si>
  <si>
    <t>Sottogenere libro</t>
  </si>
  <si>
    <t>M</t>
  </si>
  <si>
    <t>1979; 1980; 1982; 1984; 1992</t>
  </si>
  <si>
    <t xml:space="preserve">The Hitchhiker's Guide to the Galaxy; The Restaurant at the End of the Universe; Life, the Universe and Everything; So Long, and Thanks for All the Fish; Mostly Harmless </t>
  </si>
  <si>
    <t>978-88-04-66685-1</t>
  </si>
  <si>
    <t>16,5 euro</t>
  </si>
  <si>
    <t>Prezzo in euro</t>
  </si>
  <si>
    <t>fantascienza; umorismo; satira; viaggio spaziale; intelligenza artificiale; alieni; futuro distopico; parodia; tecnologia; cultura pop; universo; risposta alla domanda fondamentale</t>
  </si>
  <si>
    <t>13 euro</t>
  </si>
  <si>
    <t>978-88-17-17261-5</t>
  </si>
  <si>
    <t>Narodnye russkie skazki (Народные русские сказки)</t>
  </si>
  <si>
    <t>1855-1863</t>
  </si>
  <si>
    <t>fiabe popolari; folklore russo; tradizione orale; cultura slava; magia; creature leggendarie; morale; contadini; narrativa folklorica; antologia</t>
  </si>
  <si>
    <t>17 euro</t>
  </si>
  <si>
    <t>978-88-04-67714-7</t>
  </si>
  <si>
    <t>Thirteen Reasons Why</t>
  </si>
  <si>
    <t>suicidio adolescenziale; bullismo scolastico; disagio giovanile; depressione; amicizia; narrativa young adult; cassette audio; trauma; vita scolastica; isolamento sociale; romanzo formativo; segreti; empatia</t>
  </si>
  <si>
    <t>16 euro</t>
  </si>
  <si>
    <t>978-88-17-08091-0</t>
  </si>
  <si>
    <t xml:space="preserve">Peter and Wendy </t>
  </si>
  <si>
    <t>infanzia; sogno; isola che non c'è; volo; avventura; crescita; fantasia; pirati; fate; sirene; paura di diventare adulti; mondo immaginario; fiaba moderna; amicizia; famiglia; onirico</t>
  </si>
  <si>
    <t>La famosa invasione degli orsi in sicilia</t>
  </si>
  <si>
    <t>Buzzati Traverso Dino</t>
  </si>
  <si>
    <t>88-04-48417-9</t>
  </si>
  <si>
    <t>12,39 euro</t>
  </si>
  <si>
    <t>orsi; Sicilia; avventura; fantasia; allegoria; natura; giustizia; conflitto; crescita; fiaba moderna; società; animali parlanti; politica; utopia; romanzo fantastico, folklore italiano</t>
  </si>
  <si>
    <t>Pagine</t>
  </si>
  <si>
    <t>El paraíso en la otra esquina</t>
  </si>
  <si>
    <t>Letteratura (2010)</t>
  </si>
  <si>
    <t>F</t>
  </si>
  <si>
    <t>14 euro</t>
  </si>
  <si>
    <t>978-88-06-23521-5</t>
  </si>
  <si>
    <t>biografia; letteratura latinoamericana; romanzo storico; utopia; viaggio; identità; rivoluzione culturale; politica; esilio; lotta ideologica; relazioni familiari; cambiamento sociale; conflitto interiore; arte</t>
  </si>
  <si>
    <t>O Evangelho segundo Jesus Cristo</t>
  </si>
  <si>
    <t>Letteratura (1998)</t>
  </si>
  <si>
    <t>978-88-07-89493-0</t>
  </si>
  <si>
    <t>2 libri a 9,9 euro</t>
  </si>
  <si>
    <t>Gesù Cristo; cristianesimo; reinterpretazione storica; divinità; fede; spiritualità; filosofia; Dio; sacrilegio; potere; amore; peccato; tentazioni; società; dramma spirituale; conflitto religioso; romanzo storico</t>
  </si>
  <si>
    <t>7 euro</t>
  </si>
  <si>
    <t>978-88-96350-52-2</t>
  </si>
  <si>
    <t>violenza; miseria; contadini; ribellione; criminalità; cultura spagnola; verismo; naturalismo; ingiustizia; isolamento; conflitto sociale; critica sociale; decadimento morale; antologia</t>
  </si>
  <si>
    <t>Don Chisciotte della Mancia</t>
  </si>
  <si>
    <t>El Ingenioso Hidalgo Don Quijote de la Mancha</t>
  </si>
  <si>
    <t>de Cervantes Saavedra Miguel</t>
  </si>
  <si>
    <t>25 euro</t>
  </si>
  <si>
    <t>978-88-06-22558-2</t>
  </si>
  <si>
    <t>1212 (2 vol)</t>
  </si>
  <si>
    <t>1605; 1615</t>
  </si>
  <si>
    <t>29/09/1547</t>
  </si>
  <si>
    <t>22/04/1616</t>
  </si>
  <si>
    <t>cavaliere; follia; idealismo; realtà vs. illusione; avventura; onore; idealizzazione; comicità; critica sociale; Spagna; sconfitta; solitudine; amicizia; romanzo picaresco; questione sociale; trasformazione personale</t>
  </si>
  <si>
    <t>12,5 euro</t>
  </si>
  <si>
    <t>978-88-04-73614-1</t>
  </si>
  <si>
    <t>9 euro</t>
  </si>
  <si>
    <t>978-88-07-90073-0</t>
  </si>
  <si>
    <t>Briefe an Milena</t>
  </si>
  <si>
    <t>alienazione; trasformazione; identità; solitudine; disperazione; famiglia; angoscia; critica sociale; surrealismo; umano vs. inumano; esistenza; distorsione della realtà; modernismo</t>
  </si>
  <si>
    <t>amore; solitudine; ossessione; relazione epistolare; lettere; ansia; introspezione; comunicazione; frustrazione; isolamento emotivo; sofferenza interiore; ricerca di senso</t>
  </si>
  <si>
    <t>Il sangue degli elfi</t>
  </si>
  <si>
    <t>18 euro</t>
  </si>
  <si>
    <t>978-88-04-72767-5</t>
  </si>
  <si>
    <t>Osudy dobrého vojáka Švejka za světové války ( 4 volumi: V zázemí; Na frontě; Slavný výprask; Pokračování slavného výprasku)</t>
  </si>
  <si>
    <t>1921; 1922; 1922; 1923</t>
  </si>
  <si>
    <t>guerra; satira; umorismo; diserzione; anarchia; incompetenza; burocrazia; vita militare; critica sociale; ironia; coraggio; follia; sopravvivenza; impero austro-ungarico; guerra; ribellione</t>
  </si>
  <si>
    <t>Opinioni di un clown</t>
  </si>
  <si>
    <t>L'onore perduto di Katherina Blum</t>
  </si>
  <si>
    <t>10 euro</t>
  </si>
  <si>
    <t>11 euro</t>
  </si>
  <si>
    <t>978-88-06-22719-7</t>
  </si>
  <si>
    <t>Ansichten eines Clowns</t>
  </si>
  <si>
    <t>Böll Heinrich Theodor</t>
  </si>
  <si>
    <t>Letteratura (1972)</t>
  </si>
  <si>
    <t>978-88-04-67083-4</t>
  </si>
  <si>
    <t>Die verlorene Ehre der Katharina Blum oder: Wie Gewalt entstehen und wohin sie führen kann</t>
  </si>
  <si>
    <t>violenza mediatica; privacy; manipolazione dell'informazione; ingiustizia; pregiudizio; libertà individuale; potere dei media; persecuzione; società tedesca; critica politica; isolamento; reputazione; abuso di potere</t>
  </si>
  <si>
    <t>emarginazione; solitudine; crisi esistenziale; critica religiosa; ipocrisia borghese; amore perduto; disagio sociale; depressione; Germania del dopoguerra; libertà personale; alienazione; famiglia; conflitto morale</t>
  </si>
  <si>
    <t>7,5 euro</t>
  </si>
  <si>
    <t>978-88-07-88073-5</t>
  </si>
  <si>
    <t>Reunion</t>
  </si>
  <si>
    <t>amicizia; ricordo; crescita; separazione; nostalgia; rapporto adolescenziale; identità; Seconda Guerra Mondiale; infanzia; Germania; rifugiati; tragedia; perdita; storia personale; amicizie spezzate; conflitto interiore</t>
  </si>
  <si>
    <t>978-88-459-0186-7</t>
  </si>
  <si>
    <t>Der Spaziergang</t>
  </si>
  <si>
    <t>solitudine; riflessione; cammino; introspezione; vita quotidiana; esistenza; tempo; filosofia; natura; tempo sospeso; ricerca interiore; mondo moderno; disillusione; realtà vs. percezione; solitudine urbana; flâneur</t>
  </si>
  <si>
    <t>L'altra parte</t>
  </si>
  <si>
    <t>Die andere Seite. Ein Phantastischer Roman</t>
  </si>
  <si>
    <t>978-88-459-1644-1</t>
  </si>
  <si>
    <t>Kubin Alfred Leopold Isidor</t>
  </si>
  <si>
    <t>10/04/1877</t>
  </si>
  <si>
    <t>Austriaca</t>
  </si>
  <si>
    <t>fantastico; surrealismo; visioni; realtà alterata; sogno; distopia; psiche umana; conflitto interiore; solitudine; morte; lutto; mistero; distorsione temporale; ansia esistenziale; angoscia; filosofia; realtà vs. illusione</t>
  </si>
  <si>
    <t>Der Zauberberg</t>
  </si>
  <si>
    <t>Letteratura (1929)</t>
  </si>
  <si>
    <t>sanatorio; malattia; tempo; filosofia; morte; destino; esistenza; introspezione; tensione sociale; spirito umano; decadimento; amore; politica; simbolismo; isolamento; conflitto interiore; ricerca del senso</t>
  </si>
  <si>
    <t>978-88-04-66835-0</t>
  </si>
  <si>
    <t>I Buddenbrook</t>
  </si>
  <si>
    <t>Buddenbrooks. Verfall einer Familie</t>
  </si>
  <si>
    <t>decadenza; famiglia; tradizione; crisi economica; generazioni; ambizione; destino; società borghese; decadimento morale; eredità; lotta sociale; cambiamento; classe sociale; successo; fallimento; conflitto familiare</t>
  </si>
  <si>
    <t>Giuseppe e i suoi fratelli</t>
  </si>
  <si>
    <t>Die Geschichten Jaakobs; Der Junge Joseph; Joseph in Ägypten; Joseph der Ernährer</t>
  </si>
  <si>
    <t>1933; 1934; 1936; 1943</t>
  </si>
  <si>
    <t>24 euro</t>
  </si>
  <si>
    <t>978-88-04-80336-2</t>
  </si>
  <si>
    <t>biblica; tradizione religiosa; fede; fratellanza; tradimento; redenzione; giustizia divina; amore fraterno; sacrificio; potere; ambizione; destino; rivalità; famiglia; mito; ebraismo; società antica; interpretazione storica</t>
  </si>
  <si>
    <t>40 euro</t>
  </si>
  <si>
    <t>mitologia finlandese; epopea; eroi; magia; divinità; tradizione orale; saghe; destino; natura; potere; avventura; giustizia; amore; rivalità; cultura nordica; storia epica; leggende; battaglie; folklore scandinavo</t>
  </si>
  <si>
    <t>Vocifuoriscena</t>
  </si>
  <si>
    <t>978-88-99959-52-4</t>
  </si>
  <si>
    <t>Drammi moderni</t>
  </si>
  <si>
    <t>15 euro</t>
  </si>
  <si>
    <t>978-88-17-02902-5</t>
  </si>
  <si>
    <t>Ibsen Henrik Johan</t>
  </si>
  <si>
    <t>20/03/1828</t>
  </si>
  <si>
    <t>Norvegese</t>
  </si>
  <si>
    <t>Dramma (genere moderno, con elementi tragici o comici, che rappresenta la vita quotidiana)</t>
  </si>
  <si>
    <t>Dramma</t>
  </si>
  <si>
    <t>Samfundets støtter; Et dukkehjem; Gengangere; En folkfiende; Vildanden; Rosmersholm; Fruen fra havet; Hedda Gabler; Bygmester Solness; Lille Eyolf; John Gabriel Borkman; Når vi døde vågner</t>
  </si>
  <si>
    <t>1877; 1879; 1881; 1882; 1884; 1886; 1888; 1890; 1892; 1894; 1896; 1899</t>
  </si>
  <si>
    <t>dramma psicologico; emancipazione femminile; crisi esistenziale; solitudine; alienazione; critica sociale; famiglia disfunzionale; tradizione vs. modernità; lotta per l'autodeterminazione; ipocrisia; realismo; borghesia</t>
  </si>
  <si>
    <t>Al di là delle forze umane</t>
  </si>
  <si>
    <t>978-88-7091-182-4</t>
  </si>
  <si>
    <t>Bjørnson Bjørnstjerne Martinus</t>
  </si>
  <si>
    <t>Letteratura (1903)</t>
  </si>
  <si>
    <t>08/12/1832</t>
  </si>
  <si>
    <t>lotta interiore; morale; relazioni familiari; onore; verità; dramma psicologico; tramonto del cristianesimo; conflitto religione-scienza; crisi spirituale; ricerca della verità; fede vs. ragione; trasformazione della fede</t>
  </si>
  <si>
    <t>UTET</t>
  </si>
  <si>
    <t>4200 lire italiane</t>
  </si>
  <si>
    <t>Nota calcolo prezzo in euro</t>
  </si>
  <si>
    <t>Le opere (Teatro-Prosa)</t>
  </si>
  <si>
    <t>Miscellanea</t>
  </si>
  <si>
    <t>Over Ævne. Første Stykke</t>
  </si>
  <si>
    <t>Teatro (Leonarda; Geografi og Kærlighed; Paul Lange og Tora Parsberg); Prosa (Synnøve; Solbakken; Arne; Faderen; En ny feriefart; Støv; Mary)</t>
  </si>
  <si>
    <t>(1879; 1885; 1898); (1857; 1859; 1860; 1869; 1882; 1906)</t>
  </si>
  <si>
    <t>dramma teatrale; conflitto interpersonale; identità culturale; famiglia; moralità; società norvegese; conflitto generazionale; tragedia familiare; tradizione letteraria; lotta interiore; antologia</t>
  </si>
  <si>
    <t>Pietro il fortunato</t>
  </si>
  <si>
    <t>22 euro</t>
  </si>
  <si>
    <t>Fazi Editore</t>
  </si>
  <si>
    <t>979-12-5967-215-5</t>
  </si>
  <si>
    <t>Danese</t>
  </si>
  <si>
    <t>Lykke-Per (Hans Ungdom; Lykke-Per finder Skatten; Hans Kærlighed; Lykke-Per i det Fremmede; Hans store Værk; Lykke-Per og hans Kæreste; Hans Rejse til Amerika; Hans sidste Kamp)</t>
  </si>
  <si>
    <t>1898; 1898; 1899; 1899; 1901; 1902; 1903; 1904</t>
  </si>
  <si>
    <t>Pontoppidan Henrik</t>
  </si>
  <si>
    <t>Letteratura (1917)</t>
  </si>
  <si>
    <t>24/07/1857</t>
  </si>
  <si>
    <t>destino; ambizione; sogno di successo; lotta sociale; individualismo; ricerca della felicità; transizione sociale; immigrazione; identità personale; naturalismo; società danese; spiritualità; conflitto religione-scienza</t>
  </si>
  <si>
    <t>19 euro</t>
  </si>
  <si>
    <t>978-88-7091-159-6</t>
  </si>
  <si>
    <t>La saga di Gösta Berling</t>
  </si>
  <si>
    <t>Gösta Berlings saga</t>
  </si>
  <si>
    <t>Lagerlöf Selma Ottilia Lovisa</t>
  </si>
  <si>
    <t>Letteratura (1909)</t>
  </si>
  <si>
    <t>Svedese</t>
  </si>
  <si>
    <t>20/09/1858</t>
  </si>
  <si>
    <t>amore; redenzione; destino; natura; folklore svedese; personaggi leggendari; libertà; passione; trasformazione; avventura; lotta interiore; spiritualità; società rurale; religiosità; magia; destino individuale; romanzo epico</t>
  </si>
  <si>
    <t>978-88-04-60966-7</t>
  </si>
  <si>
    <t>Il viaggio meraviglioso di Nils Holgersson</t>
  </si>
  <si>
    <t>Nils Holgerssons underbara resa genom Sverige</t>
  </si>
  <si>
    <t>1906; 1907</t>
  </si>
  <si>
    <t>avventura; crescita; natura; animali; viaggio; risveglio; trasformazione; Svezia; educazione; amicizia; fantasia; mondo animale; esplorazione; geografia; meraviglia; scoperta; fiaba moderna; coraggio; cambiamento</t>
  </si>
  <si>
    <t>978-88-459-1698-4</t>
  </si>
  <si>
    <t>Letteratura (1920)</t>
  </si>
  <si>
    <t>Fame</t>
  </si>
  <si>
    <t>Sult</t>
  </si>
  <si>
    <t>04/08/1859</t>
  </si>
  <si>
    <t>978-88-17-03969-7</t>
  </si>
  <si>
    <t>Kristin figlia di Lavrans</t>
  </si>
  <si>
    <t>Kristin Lavransdatter (Kransen; Husfrue; Korset)</t>
  </si>
  <si>
    <t>1920; 1921; 1922</t>
  </si>
  <si>
    <t>Letteratura (1928)</t>
  </si>
  <si>
    <t>20/05/1882</t>
  </si>
  <si>
    <t>Undset Sigrid</t>
  </si>
  <si>
    <t>famiglia; amore; religione; Medioevo; Norvegia; destino; matrimonio; fede; tradizione; sacrificio; colpa; dolore; crescita; passione; valori morali; lotta interiore; società medievale; dramma storico; spiritualità; identità</t>
  </si>
  <si>
    <t>85 euro</t>
  </si>
  <si>
    <t>978-88-06-20499-0</t>
  </si>
  <si>
    <t>Olandese; Francese; Inglese</t>
  </si>
  <si>
    <t>Lettere</t>
  </si>
  <si>
    <t>arte; pittura; creatività; sofferenza;  passione; ispirazione; ricerca interiore; difficoltà psicologiche; amicizia; epistolario; vita dell'artista; riflessioni esistenziali; impressionismo; arte olandese; arte europea; storia dell'arte</t>
  </si>
  <si>
    <t>Van Gogh. Tutti i dipinti</t>
  </si>
  <si>
    <t>20 euro</t>
  </si>
  <si>
    <t>Taschen</t>
  </si>
  <si>
    <t>978-3-8365-5959-1</t>
  </si>
  <si>
    <t>van Gogh Vincent Willem [SU]; Metzger Rainer; Walther Ingo F.</t>
  </si>
  <si>
    <t>In vita; 21/04/2007</t>
  </si>
  <si>
    <t>03/07/1961; 25/11/1940</t>
  </si>
  <si>
    <t>M; M</t>
  </si>
  <si>
    <t>Vincent van Gogh – sämtliche Gemälde</t>
  </si>
  <si>
    <t>arte; pittura; impressionismo; paesaggi; natura; ritratto; storia dell'arte; biografia artistica; pennellata; colori; emozioni visive; espressione artistica; van Gogh; arte europea; rivoluzione artistica; pittura olandese</t>
  </si>
  <si>
    <t>8,5 euro</t>
  </si>
  <si>
    <t>978-88-07-90187-4</t>
  </si>
  <si>
    <t>1848; 1847</t>
  </si>
  <si>
    <t>Belye Noči (Белые ночи); Peterburgskaja letopis’ (Петербургская летопись)</t>
  </si>
  <si>
    <t>sogno; solitudine; amore ideale; attesa; illusioni; malinconia; città notturna; introspezione; giovinezza; desiderio; realtà vs fantasia; incontro casuale; Pietroburgo; sensibilità romantica; tempo sospeso</t>
  </si>
  <si>
    <t>11000 lire italiane</t>
  </si>
  <si>
    <t>88-07-80444-1</t>
  </si>
  <si>
    <t>Il dottor Živago</t>
  </si>
  <si>
    <t>Doktor Živago (До́ктор Жива́го)</t>
  </si>
  <si>
    <t>Pasternak Boris Leonidovič</t>
  </si>
  <si>
    <t>Letteratura (1958)</t>
  </si>
  <si>
    <t>10/02/1890</t>
  </si>
  <si>
    <t>rivoluzione russa; guerra civile; amore impossibile; destino; poesia; spiritualità; resistenza morale; tragedia storica; libertà individuale; trasformazione sociale; identità; Russia del Novecento; speranza; disillusione</t>
  </si>
  <si>
    <t>Master i Margarita (Мастер и Маргарита)</t>
  </si>
  <si>
    <t>satira; censura; diavolo; Mosca sovietica; amore; libertà artistica; religione; bene vs male; surrealismo; persecuzione; doppia realtà; follia; magia; critica al totalitarismo; spiritualità; redenzione; giustizia; simbolismo</t>
  </si>
  <si>
    <t>Le opere</t>
  </si>
  <si>
    <t>Sillanpää Frans Eemil</t>
  </si>
  <si>
    <t>Letteratura (1939)</t>
  </si>
  <si>
    <t>16/09/1888</t>
  </si>
  <si>
    <t>Hurskas kurjuus; Nuorena nukkunut; racconti (Kodin helmasta; Piika; Vanhan Siinan vierailu; Rakas isänmaani; Pikku Irjan loppu; Aviopuolisot; Nieminen perheestä; Juhannusvieraat; Paluu)</t>
  </si>
  <si>
    <t>1919; 1931; (1915; 1917; 1917; 1918; 1918; 1918; 1919; 1920; 1921)</t>
  </si>
  <si>
    <t>ruralità; natura finlandese; povertà; famiglia; tradizione; vita contadina; introspezione; società; amore familiare; morte; solidarietà; saggezza popolare; transizione sociale; dignità; emozione; folklore scandinavo</t>
  </si>
  <si>
    <t>4200 lire</t>
  </si>
  <si>
    <t>Letteratura (1924)</t>
  </si>
  <si>
    <t>Chłopi</t>
  </si>
  <si>
    <t>1904; 1904; 1906; 1909</t>
  </si>
  <si>
    <t>07/05/1867</t>
  </si>
  <si>
    <t>ruralità; vita contadina; comunità agricola; tradizione; patriarcato; religione; conflitti familiari; naturalismo; natura ciclica; cultura polacca; trasformazione sociale; spiritualità popolare; lavoro nei campi</t>
  </si>
  <si>
    <t>fame; alienazione; solitudine; instabilità mentale; identità; città moderna; creatività; povertà; esistenzialismo; crisi personale; scrittura; marginalità; conflitto interiore; modernismo; percezione distorta; surreale; onirico</t>
  </si>
  <si>
    <t>Rime</t>
  </si>
  <si>
    <t>1260 (?)</t>
  </si>
  <si>
    <t>1310/1313</t>
  </si>
  <si>
    <t>Volgare Fiorentino</t>
  </si>
  <si>
    <t>Fine del XIII secolo - Inizio del XIV secolo</t>
  </si>
  <si>
    <t>Rime (o Sonetti)</t>
  </si>
  <si>
    <t>irriverenza; satira; amore terreno; parodia stilnovista; ironia; quotidianità; volgare fiorentino; beffa; realismo; poesia giocosa; ribellione; comicità; dissacrazione; Medioevo; tensione sociale</t>
  </si>
  <si>
    <t>978-88-07-90295-6</t>
  </si>
  <si>
    <t>Volgare Fiorentino; Italiano</t>
  </si>
  <si>
    <t>Goldoni Carlo Osvaldo</t>
  </si>
  <si>
    <t>25/02/1707</t>
  </si>
  <si>
    <t>06/02/1793</t>
  </si>
  <si>
    <t>Veneziano; Italiano</t>
  </si>
  <si>
    <t>Veneziano</t>
  </si>
  <si>
    <t>Teatro. ll bugiardo. La Locandiera. Il servitore di due padroni</t>
  </si>
  <si>
    <t>Il bugiardo; La locandiera; Il servitore di due padroni</t>
  </si>
  <si>
    <t>1750; 1753; 1746</t>
  </si>
  <si>
    <t>commedia; maschere; Venezia; inganno; amore; ironia sociale; identità; relazioni umane; teatro riformato; servitù e padroni; ruoli sociali; critica dei costumi; dialogo brillante; XVIII secolo; illuminismo</t>
  </si>
  <si>
    <t>La scienza in cucina e l'arte di mangiar bene</t>
  </si>
  <si>
    <t>15,9 euro</t>
  </si>
  <si>
    <t>978-88-95570-04-4</t>
  </si>
  <si>
    <t>1891; 1910 (14ª edizione)</t>
  </si>
  <si>
    <t>Artusi Pellegrino</t>
  </si>
  <si>
    <t>04/08/1820</t>
  </si>
  <si>
    <t>cucina italiana; tradizione gastronomica; ricette; cultura alimentare; arte culinaria; borghesia; umorismo; storia del cibo; educazione domestica; identità nazionale; lingua italiana; divulgazione; scienza domestica</t>
  </si>
  <si>
    <t>La coscienza di Zeno</t>
  </si>
  <si>
    <t>978-88-07-90049-5</t>
  </si>
  <si>
    <t>19/12/1861</t>
  </si>
  <si>
    <t>psicoanalisi; malattia; autoinganno; modernità; identità; crisi dell’io; ironia; nevrosi; introspezione; inettitudine; alienazione; memoria; flusso di coscienza; tempo soggettivo; conflitto interiore, novecento</t>
  </si>
  <si>
    <t>Il fu Mattia Pascal</t>
  </si>
  <si>
    <t>978-88-06-21911-6</t>
  </si>
  <si>
    <t>Letteratura (1934)</t>
  </si>
  <si>
    <t>Pirandello Luigi</t>
  </si>
  <si>
    <t>28/06/1867</t>
  </si>
  <si>
    <t>identità; doppio; destino; libertà; alienazione; società borghese; ironia; relativismo; maschere sociali; vita e finzione; esistenzialismo; morte simbolica; crisi d’identità; inganno; ricerca di sé</t>
  </si>
  <si>
    <t>La luna e i falò</t>
  </si>
  <si>
    <t>978-88-07-89649-1</t>
  </si>
  <si>
    <t>Pavese Cesare</t>
  </si>
  <si>
    <t>memoria; ritorno; infanzia; radici; guerra; identità; campagna piemontese; solitudine; disillusione; cambiamento; ricerca del passato; senso di appartenenza; fine di un’epoca; dolore; autobiografia simbolica; langhe</t>
  </si>
  <si>
    <t>Lessico famigliare</t>
  </si>
  <si>
    <t>Mondadori - DeAgostini</t>
  </si>
  <si>
    <t>Ginzburg Levi Natalia</t>
  </si>
  <si>
    <t>memoria; famiglia; lingua privata; quotidianità; antifascismo; Italia del Novecento; autobiografia; affetti; Torino; guerra; intimità; educazione; società italiana; resistenza; perdita</t>
  </si>
  <si>
    <t>Il giorno della civetta</t>
  </si>
  <si>
    <t>978-88-459-1675-5</t>
  </si>
  <si>
    <t>Sciascia Leonardo</t>
  </si>
  <si>
    <t>mafia; giustizia; omertà; Sicilia; potere; corruzione; indagine; Stato; violenza; silenzio; società; verità; crimine organizzato; etica; denuncia sociale</t>
  </si>
  <si>
    <t>978-88-04-66830-5</t>
  </si>
  <si>
    <t>Il visconte dimezzato; Il barone rampante; Il cavaliere inesistente</t>
  </si>
  <si>
    <t>1952; 1957; 1959</t>
  </si>
  <si>
    <t>identità; fantasia; allegoria; individuo; società; libertà; utopia; ironia; dualismo; razionalità; assurdo; crescita personale; moralità; conflitto interiore; fiaba filosofica</t>
  </si>
  <si>
    <t>978-88-04-66838-1</t>
  </si>
  <si>
    <t>metanarrativa; lettore; identità; frammentazione; gioco letterario; postmoderno; romanzo nel romanzo; mistero; amore; verità; struttura narrativa; autore; finzione; ricerca; incompiutezza; iper-romanzo; OuLiPo</t>
  </si>
  <si>
    <t>Alice's Adventures in Wonderland &amp; Throught the Looking-Glass</t>
  </si>
  <si>
    <t>11,99 sterline; 15,99 dollari USA</t>
  </si>
  <si>
    <t>Pan Macmillan</t>
  </si>
  <si>
    <t>978-1-909621-58-9</t>
  </si>
  <si>
    <t>Alice's Adventures in Wonderland; Through the Looking-Glass, and What Alice Found There</t>
  </si>
  <si>
    <t>1865; 1871</t>
  </si>
  <si>
    <t>11,5 euro</t>
  </si>
  <si>
    <t>978-88-17-01134-7</t>
  </si>
  <si>
    <t>fantasia; assurdo; sogno; logica; nonsenso; identità; infanzia; crescita; tempo; metamorfosi; regole arbitrarie; paradosso; linguaggio; critica sociale; simbolismo; mondi paralleli</t>
  </si>
  <si>
    <t>fantasia; assurdo; sogno; logica; nonsenso; identità; infanzia; crescita; tempo; regole arbitrarie; paradosso; linguaggio; critica sociale; simbolismo; mondi paralleli; immaginazione; relazione autore-opera; epistolario</t>
  </si>
  <si>
    <t>978-88-347-2292-3</t>
  </si>
  <si>
    <t>Alice's Adventures in Wonderland</t>
  </si>
  <si>
    <t>978-88-17-08089-7</t>
  </si>
  <si>
    <t>14/01/1898; 22/05/2010</t>
  </si>
  <si>
    <t>27/01/1832; 21/10/1914</t>
  </si>
  <si>
    <t>The Annotated Alice; More Annoted Alice</t>
  </si>
  <si>
    <t>1960; 1990</t>
  </si>
  <si>
    <t>fantasia; logica; nonsense; critica letteraria; infanzia; crescita; sogno; linguaggio; paradosso; simbolismo; illustrazione; commento critico; immaginazione; universo parallelo; nonsense vittoriano</t>
  </si>
  <si>
    <t>Alice în Țara Minunilor</t>
  </si>
  <si>
    <t>9,99 lei rumeni</t>
  </si>
  <si>
    <t>Rumeno</t>
  </si>
  <si>
    <t>Editura Regis</t>
  </si>
  <si>
    <t>973-96181-3-8</t>
  </si>
  <si>
    <t>Conversione effettuata utilizzando il tasso medio di cambio tra sterlina britannica ed euro (GBP-EUR) relativo al 2016</t>
  </si>
  <si>
    <t xml:space="preserve">Conversione effettuata utilizzando il tasso medio di cambio tra leu rumeno ed euro (EUR-RON) relativo al 2006 </t>
  </si>
  <si>
    <t>29,9 euro</t>
  </si>
  <si>
    <t>978-88-6722-657-3</t>
  </si>
  <si>
    <t>1865; 1871; 1840-1897</t>
  </si>
  <si>
    <t>Through the Looking-Glass, and What Alice Found There</t>
  </si>
  <si>
    <t>fantasia; assurdo; sogno; logica; nonsenso; identità; infanzia; crescita; tempo; metamorfosi; regole arbitrarie; paradosso; linguaggio; critica sociale; simbolismo; mondi paralleli; scacchi</t>
  </si>
  <si>
    <t>978-88-6722-656-6</t>
  </si>
  <si>
    <t>Fiabe africane</t>
  </si>
  <si>
    <t>8,8 euro</t>
  </si>
  <si>
    <t>88-06-13597-X</t>
  </si>
  <si>
    <t>Radin Paul</t>
  </si>
  <si>
    <t>02/04/1883</t>
  </si>
  <si>
    <t>African Folktales</t>
  </si>
  <si>
    <t>miti africani; tradizione orale; cultura tribale; animali parlanti; saggezza popolare; magia; trasformazioni; spiritualità; morale; natura; rituali; racconti ancestrali; folklore; oralità; archetipo</t>
  </si>
  <si>
    <t xml:space="preserve">Fiabe Irlandesi </t>
  </si>
  <si>
    <t>20000 lire</t>
  </si>
  <si>
    <t>88-06-53017-8</t>
  </si>
  <si>
    <t>Fairy and Folk Tales of Ireland (Fairy and Folk Tales of the Irish Peasantry; Irish Fairy Tales)</t>
  </si>
  <si>
    <t>1888; 1892</t>
  </si>
  <si>
    <t>Yeats William Butler</t>
  </si>
  <si>
    <t>Letteratura (1923)</t>
  </si>
  <si>
    <t>13/06/1865</t>
  </si>
  <si>
    <t>folklore irlandese; fate; spiriti; leggende celtiche; tradizione orale; magia; mondo invisibile; creature mitologiche; racconti popolari; superstizione; druido; antiche credenze; paesaggi incantati; cultura contadina; Irlanda</t>
  </si>
  <si>
    <t>978-88-04-77282-8</t>
  </si>
  <si>
    <t>Sulla fiaba</t>
  </si>
  <si>
    <t>fiaba; struttura narrativa; archetipi; tradizione popolare; simbolismo; oralità; infanzia; immaginario collettivo; letteratura comparata; funzione educativa; magia; narrazione; morale; mito; cultura orale; folklore</t>
  </si>
  <si>
    <t>Tutte le fiabe. Prima edizione integrale 1812-1815</t>
  </si>
  <si>
    <t>35 euro</t>
  </si>
  <si>
    <t>978-88-6843-347-5</t>
  </si>
  <si>
    <t>Donzelli Editore</t>
  </si>
  <si>
    <t>Grimm Jacob Ludwig Karl; Grimm Wilhelm Karl</t>
  </si>
  <si>
    <t>Tedesca; Tedesca</t>
  </si>
  <si>
    <t>Kinder- und Hausmärchen</t>
  </si>
  <si>
    <t>1812; 1815</t>
  </si>
  <si>
    <t>04/01/1785; 24/02/1786</t>
  </si>
  <si>
    <t>20/09/1863; 16/12/1859</t>
  </si>
  <si>
    <t>fiabe popolari; tradizione orale; folklore tedesco; infanzia; morale; simbolismo; magia; archetipi; cultura europea; narrativa fantastica; fratelli Grimm; origine del racconto; immaginario popolare; mondo contadino</t>
  </si>
  <si>
    <t>Tutte le fiabe</t>
  </si>
  <si>
    <t>26,5 euro</t>
  </si>
  <si>
    <t>978-88-6843-462-5</t>
  </si>
  <si>
    <t>Perrault Charles</t>
  </si>
  <si>
    <t>12/01/1628</t>
  </si>
  <si>
    <t>16/05/1703</t>
  </si>
  <si>
    <t>1697; (1693; 1694)</t>
  </si>
  <si>
    <t>fiabe popolari; moralità; infanzia; tradizione francese; simbolismo; magia; narrativa fantastica; cultura cortese; folklore europeo; trasformazione; archetipi; immaginario europeo; famiglia; giustizia; educazione</t>
  </si>
  <si>
    <t>28 euro</t>
  </si>
  <si>
    <t>978-88-04-77734-2</t>
  </si>
  <si>
    <t>Fiabe italiane raccolte dalla tradizione popolare durante gli ultimi cento anni e trascritte in lingua dai vari dialetti da Italo Calvino</t>
  </si>
  <si>
    <t>Fiabe Russe</t>
  </si>
  <si>
    <t>Fiabe Italiane raccolte dalla tradizione popolare durante gli ultimi cento anni e trascritte in lingua dai vari dialetti</t>
  </si>
  <si>
    <t>fiabe popolari; tradizione orale italiana; dialetti; cultura contadina; morale; simbolismo; folklore regionale; archetipi; magia; trasformazione; infanzia; immaginario collettivo; identità culturale; racconti regionali; oralità</t>
  </si>
  <si>
    <t>Favole</t>
  </si>
  <si>
    <t>978-88-17-09064-3</t>
  </si>
  <si>
    <t>Aisōpou mythoi (Αἰσώπου μῦθοι)</t>
  </si>
  <si>
    <t>Esòpo</t>
  </si>
  <si>
    <t>564 a.C.</t>
  </si>
  <si>
    <t>620 a.C.</t>
  </si>
  <si>
    <t xml:space="preserve">VII secolo a.C. - VI secolo a.C. </t>
  </si>
  <si>
    <t>animali parlanti; morale; insegnamento; saggezza popolare; simbolismo; comportamento umano; virtù e vizi; brevi narrazioni; giustizia; astuzia; critica sociale; pedagogia; cultura greca; allegoria; tradizione orale</t>
  </si>
  <si>
    <t>3,9 euro</t>
  </si>
  <si>
    <t>978-88-347-2296-1</t>
  </si>
  <si>
    <t>Le avventure di Pinocchio. Storia di un burattino</t>
  </si>
  <si>
    <t>burattino; infanzia; bugie; ribellione; crescita; redenzione; avventura; educazione; trasformazione; giustizia; fantasia; moralità; genitorialità; fiaba; simbolismo; cultura italiana</t>
  </si>
  <si>
    <t>A Pál utcai fiúk</t>
  </si>
  <si>
    <t>infanzia; amicizia; lealtà; conflitto; gioco; guerra simulata; onore; sacrificio; adolescenza; società; Budapest; romanzo di formazione</t>
  </si>
  <si>
    <t>978-88-98628-14-8</t>
  </si>
  <si>
    <t>infanzia; scuola; educazione civica; patriottismo; solidarietà; famiglia; insegnamento morale; amicizia; sacrificio; classe sociale; unità nazionale; crescita; romanzo pedagogico; Italia post-unitaria</t>
  </si>
  <si>
    <t>7,9 euro</t>
  </si>
  <si>
    <t>978-88-09-05369-4</t>
  </si>
  <si>
    <t>infanzia; mistero; scuola; partecipazione; educazione; giustizia; empatia; responsabilità; ambiente scolastico; racconto civile; didattica; pedagogia; narrazione collettiva; romanzo educativo; mistero</t>
  </si>
  <si>
    <t>6,9 euro</t>
  </si>
  <si>
    <t>978-88-418-5392-4</t>
  </si>
  <si>
    <t>The Wonderful Wizard of Oz</t>
  </si>
  <si>
    <t>infanzia; fantastico; viaggio; coraggio; amicizia; identità; desiderio; cuore; cervello; casa; sogno americano; avventura; formazione; strega; romanzo per ragazzi</t>
  </si>
  <si>
    <t>9,5 euro</t>
  </si>
  <si>
    <t>978-88-04-61378-7</t>
  </si>
  <si>
    <t>Bridge to Terabithia</t>
  </si>
  <si>
    <t>infanzia; amicizia; fantasia; lutto; crescita; immaginazione; realtà e finzione; formazione; emozioni; dolore; resilienza</t>
  </si>
  <si>
    <t>Il misterioso manoscritto di Nostratopus</t>
  </si>
  <si>
    <t>9,2 euro</t>
  </si>
  <si>
    <t>978-88-384-5513-1</t>
  </si>
  <si>
    <t>?/?/1958</t>
  </si>
  <si>
    <t>avventura; mistero; enigmi; manoscritto; animali antropomorfi; ironia; fantasia; indagine; viaggio; suspense; narrativa per ragazzi; Geronimo Stilton</t>
  </si>
  <si>
    <t>8,9 euro</t>
  </si>
  <si>
    <t>978-88-580-2711-0</t>
  </si>
  <si>
    <t>Robin des bois: Le Prince des voleurs</t>
  </si>
  <si>
    <t>giustizia; ribellione; eroe leggendario; foresta di Sherwood; ricchezza e povertà; avventura; lealtà; amicizia; identità; travestimento; lotta sociale; banditismo; Medioevo; libertà; persecuzione; tirannia; moralità</t>
  </si>
  <si>
    <t>978-88-452-6974-5</t>
  </si>
  <si>
    <t>Le Petit Prince</t>
  </si>
  <si>
    <t>infanzia; amicizia; solitudine; immaginazione; viaggio; crescita; amore; responsabilità; essenziale invisibile; critica agli adulti; meraviglia; pianeti; simbolismo; morte; fiaba filosofica; deserto; ricerca di senso; identità</t>
  </si>
  <si>
    <t>978-88-347-2298-5</t>
  </si>
  <si>
    <t>4,9 euro</t>
  </si>
  <si>
    <t>Le Tour du monde en quatre-vingts jours</t>
  </si>
  <si>
    <t>viaggio; avventura; tempo; sfida; modernità; progresso; esplorazione; razionalità; imprevisto; cultura globale; identità; determinazione; amicizia; destino; colonialismo; ironia; XIX secolo; spirito scientifico</t>
  </si>
  <si>
    <t>978-88-98628-22-3</t>
  </si>
  <si>
    <t>Vingt mille lieues sous les mers: Tour du monde sous-marin</t>
  </si>
  <si>
    <t>1869; 1870</t>
  </si>
  <si>
    <t>avventura; scienza; mare; esplorazione; mistero; tecnologia; natura; conoscenza; isolamento; viaggio sottomarino; modernità; capitano; libertà; progresso; critica sociale; utopia; meraviglia; XIX secolo</t>
  </si>
  <si>
    <t>978-88-04-64684-6</t>
  </si>
  <si>
    <t>(1955; 1950; 1954; 1951; 1952; 1953; 1956)</t>
  </si>
  <si>
    <t>The Chronicles of Narnia (The Magician's Nephew; The Lion, the Witch, and the Wardrobe; The Horse and His Boy; Prince Caspian; The Voyage of the Dawn Treader; The Silver Chair; The Last Battle)</t>
  </si>
  <si>
    <t>fantasia; bene vs male; mitologia; religione; infanzia; crescita; viaggio; avventura; simbolismo; redenzione; destino; magia; animali parlanti; mondo parallelo; eroismo; valori morali; allegoria cristiana; formazione</t>
  </si>
  <si>
    <t>978-88-04-67695-9</t>
  </si>
  <si>
    <t>The Earthsea Cycle (A Wizard of Earthsea; The Tombs of Atuan; The Farthest Shore; Tehanu; The Other Wind; Tales from Earthsea)</t>
  </si>
  <si>
    <t>(1968; 1971; 1972; 1990; 2001; 2001)</t>
  </si>
  <si>
    <t>fantasia; magia; equilibrio; identità; crescita; potere; destino; viaggio iniziatico; dualismo; morte; natura; linguaggio; spiritualità; conoscenza; formazione; simbolismo; mitologia; mondo immaginario</t>
  </si>
  <si>
    <t>Le storie-La guerra del Peloponneso</t>
  </si>
  <si>
    <t>978-88-17-02216-3</t>
  </si>
  <si>
    <t>Greca; Greca</t>
  </si>
  <si>
    <t>Erodoto di Alicarnasso; Tucidide</t>
  </si>
  <si>
    <t xml:space="preserve">484 a.C.; 460 a.C. </t>
  </si>
  <si>
    <t>425 a.C.; dopo il 404 a.C</t>
  </si>
  <si>
    <t>Historíai (Ἱστορίαι); Perí toû Peloponnēsíou polémou (Περὶ τοῦ Πελοποννησίου πoλέμου)</t>
  </si>
  <si>
    <t>storia antica; guerra; politica; democrazia; tirannide; Persia; Atene; Sparta; cultura greca; testimonianza; analisi storica; mito e realtà; storiografia; conflitto; potere; retorica; indagine; cause e conseguenze; etica storica</t>
  </si>
  <si>
    <t>9,9 euro</t>
  </si>
  <si>
    <t>978-88-11-81014-8</t>
  </si>
  <si>
    <t>978-88-11-81040-7</t>
  </si>
  <si>
    <t>Iliás (Ἰλιάς)</t>
  </si>
  <si>
    <t>Odýsseia (Ὀδύσσεια)</t>
  </si>
  <si>
    <t>VIII secolo a.C.</t>
  </si>
  <si>
    <t>epica; guerra; onore; destino; eroi; Achille; Ettore; Troia; ira; vendetta; gloria; mito; divinità; umanità; sacrificio; valore; oralità; memoria collettiva; poesia epica; cultura greca</t>
  </si>
  <si>
    <t>viaggio; avventura; identità; nostalgia; ingegno; Ulisse; casa; mare; prove; destino; divinità; metamorfosi; memoria; mito; eroismo; oralità; tentazione; riconoscimento; cultura greca; poesia epica</t>
  </si>
  <si>
    <t>La favola di Amore e Psiche</t>
  </si>
  <si>
    <t>978-88-07-90358-8</t>
  </si>
  <si>
    <t>Apuleio Lucio</t>
  </si>
  <si>
    <t>Romana</t>
  </si>
  <si>
    <t>125 d.C.</t>
  </si>
  <si>
    <t>dopo il 170 d.C.</t>
  </si>
  <si>
    <t>II secolo d.C.</t>
  </si>
  <si>
    <t>Metamorphoseon libri IV-VI</t>
  </si>
  <si>
    <t>mito; amore; prova; anima; divinità; Psiche; Eros; metamorfosi; fiaba antica; desiderio; identità; ostacolo; redenzione; simbolismo; bellezza; iniziazione; viaggio interiore; mitologia romana; allegoria; destino</t>
  </si>
  <si>
    <t>12 euro</t>
  </si>
  <si>
    <t>978-88-17-03876-8</t>
  </si>
  <si>
    <t>440 a.C. - 429 a.C.; V secolo a.C.</t>
  </si>
  <si>
    <t>58 a.C. - 50 a.C.;  49 a.C. - 48 a.C.;  48 a.C. - 45 a.C.; dopo il 46 a.C.; dopo il 45 a.C.</t>
  </si>
  <si>
    <t>Commentarii de bello Gallico; Commentarii de bello civili; Bellum Alexandrinum; Bellum Africum; Bellum Hispaniense</t>
  </si>
  <si>
    <t>Canto di Natale</t>
  </si>
  <si>
    <t>Dickens Charles John Huffam</t>
  </si>
  <si>
    <t>07/02/1812</t>
  </si>
  <si>
    <t>09/06/1870</t>
  </si>
  <si>
    <t>978-88-17-09743-7</t>
  </si>
  <si>
    <t>A Christmas Carol. In Prose. Being a Ghost Story of Christmas</t>
  </si>
  <si>
    <t>spirito; Natale; redenzione; misericordia; avarizia; fantasmi; crescita personale; cambiamento; solitudine; generosità; spiritualità; umanità; moralità; critica sociale; fiaba; famiglia; destino; vita dopo la morte</t>
  </si>
  <si>
    <t>1898-1927</t>
  </si>
  <si>
    <t>Traduttore</t>
  </si>
  <si>
    <t>Curatore</t>
  </si>
  <si>
    <t>Titolo 1ª edizione originale</t>
  </si>
  <si>
    <t>Genere autore</t>
  </si>
  <si>
    <t>Illustratore</t>
  </si>
  <si>
    <t>Anno 1ª edizione originale</t>
  </si>
  <si>
    <t>Numero edizione</t>
  </si>
  <si>
    <t>Città editore</t>
  </si>
  <si>
    <t>Serie/Collana</t>
  </si>
  <si>
    <t>Numero nella collana</t>
  </si>
  <si>
    <t>Volume</t>
  </si>
  <si>
    <t>Stato di conservazione</t>
  </si>
  <si>
    <t>Firma/Dedica</t>
  </si>
  <si>
    <t>Note</t>
  </si>
  <si>
    <t>Catalogo della Biblioteca Personale</t>
  </si>
  <si>
    <t>Identificazione della copia</t>
  </si>
  <si>
    <t>Descrizione</t>
  </si>
  <si>
    <t>Informazioni sull'opera</t>
  </si>
  <si>
    <t>Autore e riconoscimenti</t>
  </si>
  <si>
    <t>Contributori dell'edizione</t>
  </si>
  <si>
    <t>Informazioni editoriali</t>
  </si>
  <si>
    <t>Caratteristiche fisiche</t>
  </si>
  <si>
    <t>Stato e valore della copia</t>
  </si>
  <si>
    <t>Campi che identificano in modo univoco la copia presente nel catalogo e permettono di distinguerla dalle altre</t>
  </si>
  <si>
    <t>Dati relativi all'opera intesa come creazione intellettuale, indipendentemente dall'edizione posseduta</t>
  </si>
  <si>
    <t>Informazioni anagrafiche e biografiche dell'autore principale, comprese eventuali onorificenze e premi</t>
  </si>
  <si>
    <t>Persone che hanno contribuito alla realizzazione dell'edizione posseduta oltre all'autore</t>
  </si>
  <si>
    <t>Dati che identificano l'edizione specifica posseduta e le sue caratteristiche editoriali</t>
  </si>
  <si>
    <t>Descrivono gli aspetti materiali della copia</t>
  </si>
  <si>
    <t>Informazioni sullo stato di conservazione e sul valore economico originario della copia</t>
  </si>
  <si>
    <t>Anno in cui è stata pubblicata l'edizione presente nella biblioteca. Può differire dall'anno della prima pubblicazione dell'opera</t>
  </si>
  <si>
    <t>Casa editrice che ha pubblicato la copia posseduta</t>
  </si>
  <si>
    <t>Nome della collana editoriale a cui appartiene il volume</t>
  </si>
  <si>
    <t>Numero progressivo del volume all'interno della collana, se presente</t>
  </si>
  <si>
    <t>ISBN</t>
  </si>
  <si>
    <t>Numero totale delle pagine della copia posseduta</t>
  </si>
  <si>
    <t>Indica il numero del volume nel caso di opere composte da più tomi o parti</t>
  </si>
  <si>
    <t>Tipologia fisica della rilegatura</t>
  </si>
  <si>
    <t>Brossura</t>
  </si>
  <si>
    <t>Cartonato</t>
  </si>
  <si>
    <t>Brossura con alette</t>
  </si>
  <si>
    <t>Cartonato con sovraccoperta</t>
  </si>
  <si>
    <t>Pergamena</t>
  </si>
  <si>
    <t>Punto metallico</t>
  </si>
  <si>
    <t>Tela</t>
  </si>
  <si>
    <t>Pelle</t>
  </si>
  <si>
    <t>Legatura speciale</t>
  </si>
  <si>
    <t>Spirale/Anelli</t>
  </si>
  <si>
    <t>Opere basate principalmente sul racconto di eventi reali o immaginari attraverso personaggi, ambientazioni e una struttura narrativa (es. romanzi, racconti, novelle).</t>
  </si>
  <si>
    <t>Opere destinate a diffondere conoscenze e informazioni in modo accessibile anche ai non specialisti (es. divulgazione scientifica, storica, culturale).</t>
  </si>
  <si>
    <t>Opere basate sull'arte del discorso e della comunicazione persuasiva, comprendenti orazioni, discorsi pubblici, sermoni e testi retorici.</t>
  </si>
  <si>
    <t>Opere narrative incentrate su imprese eroiche, eventi storici o mitologici di grande rilievo, spesso caratterizzate da tono solenne e dimensione collettiva.</t>
  </si>
  <si>
    <t>Opere con finalità principalmente educative, istruttive o morali, volte a trasmettere insegnamenti, precetti o conoscenze pratiche.</t>
  </si>
  <si>
    <t>Opere in cui prevale l'espressione di sentimenti, emozioni, stati d'animo e riflessioni personali dell'autore (es. poesie, componimenti poetici).</t>
  </si>
  <si>
    <t>Opere teatrali destinate alla rappresentazione tramite dialoghi e recitazione, senza prevalenza dell'elemento musicale (es. tragedie, commedie, drammi).</t>
  </si>
  <si>
    <t>Opere teatrali in cui musica, canto e scenografia sono elementi fondamentali della rappresentazione (es. opere liriche, musical, melodrammi).</t>
  </si>
  <si>
    <t>Raccolte di testi diversi per genere, argomento o autore, oppure opere che non rientrano in una categoria prevalente unica (es. antologie, raccolte, opere varie).</t>
  </si>
  <si>
    <t>Opera narrativa estesa in prosa, generalmente caratterizzata da trama articolata, personaggi sviluppati e ambientazione definita.</t>
  </si>
  <si>
    <t>Opera narrativa breve in prosa, con sviluppo più contenuto rispetto al romanzo e focalizzata su uno o pochi eventi principali.</t>
  </si>
  <si>
    <t>Racconto fantastico tradizionale caratterizzato da elementi magici, personaggi straordinari e spesso una morale implicita.</t>
  </si>
  <si>
    <t>Breve racconto allegorico in prosa, spesso con animali antropomorfizzati, finalizzato a trasmettere un insegnamento morale.</t>
  </si>
  <si>
    <t>Opera dedicata alla ricostruzione, analisi e interpretazione di eventi storici.</t>
  </si>
  <si>
    <t>Opera che racconta la vita di una persona reale, generalmente scritta da un autore diverso dal soggetto narrato.</t>
  </si>
  <si>
    <t>Raccolta di annotazioni personali ordinate cronologicamente, che riportano esperienze, pensieri e avvenimenti vissuti dall'autore.</t>
  </si>
  <si>
    <t>Opera strutturata come conversazione tra due o più interlocutori, spesso utilizzata per esporre idee filosofiche, morali o culturali.</t>
  </si>
  <si>
    <t>Opera sistematica che analizza e sviluppa un argomento specifico in modo approfondito e organizzato.</t>
  </si>
  <si>
    <t>Opera di analisi e riflessione critica su temi culturali, filosofici, scientifici, politici o sociali.</t>
  </si>
  <si>
    <t>Pubblicazione breve, generalmente di poche pagine, destinata alla divulgazione, informazione o propaganda.</t>
  </si>
  <si>
    <t>Breve frase o pensiero sintetico che esprime una riflessione, una verità generale o un principio.</t>
  </si>
  <si>
    <t>Opera finalizzata alla difesa o alla giustificazione di una persona, idea, teoria o movimento.</t>
  </si>
  <si>
    <t>Racconto allegorico breve che utilizza situazioni simboliche per trasmettere un insegnamento morale o spirituale.</t>
  </si>
  <si>
    <t>Testo programmatico che espone principi, idee o obiettivi di un movimento artistico, politico o culturale.</t>
  </si>
  <si>
    <t>Opera composta da immagini simboliche accompagnate da testi esplicativi con significato morale o allegorico.</t>
  </si>
  <si>
    <t>Lettera in forma letteraria, destinata a comunicare idee, riflessioni o argomentazioni.</t>
  </si>
  <si>
    <t>Racconto delle virtù, dei miracoli o delle imprese straordinarie di una divinità o di un personaggio eccezionale.</t>
  </si>
  <si>
    <t>Racconto della vita e delle virtù di santi o figure religiose esemplari.</t>
  </si>
  <si>
    <t>Biografia con finalità principalmente religiosa e divulgativa, volta a proclamare e diffondere un messaggio di fede.</t>
  </si>
  <si>
    <t>Romanzo in cui la narrazione è utilizzata per sviluppare riflessioni filosofiche, morali o ideologiche.</t>
  </si>
  <si>
    <t>Opera narrativa basata su ricerche, documentazioni o ricostruzioni di eventi reali, spesso con finalità di denuncia o approfondimento.</t>
  </si>
  <si>
    <t>Opera composta da discorsi pubblici o testi destinati alla persuasione attraverso tecniche retoriche.</t>
  </si>
  <si>
    <t>Componimento poetico narrativo di ampio respiro che celebra imprese eroiche, eventi storici o mitologici.</t>
  </si>
  <si>
    <t>Breve poema narrativo di argomento mitologico o eroico, caratterizzato da stile raffinato e dimensioni ridotte rispetto all'epica.</t>
  </si>
  <si>
    <t>Poema che tratta temi eroici in chiave comica o parodica, mescolando elementi solenni e umoristici.</t>
  </si>
  <si>
    <t>Poema che trasmette insegnamenti attraverso simboli, allegorie e narrazioni poetiche.</t>
  </si>
  <si>
    <t>Componimento poetico con finalità istruttive, destinato a insegnare conoscenze o principi.</t>
  </si>
  <si>
    <t>Opera poetica incentrata su riflessioni sulla saggezza, la morale e il comportamento umano.</t>
  </si>
  <si>
    <t>Testo che annuncia eventi futuri o trasmette messaggi di carattere religioso, simbolico o visionario.</t>
  </si>
  <si>
    <t>Breve componimento poetico allegorico, spesso con animali protagonisti e intento morale.</t>
  </si>
  <si>
    <t>Lettera poetica utilizzata per esporre riflessioni filosofiche o morali.</t>
  </si>
  <si>
    <t>Componimento poetico destinato alla voce di un singolo autore o esecutore, tipico della tradizione lirica antica.</t>
  </si>
  <si>
    <t>Componimento poetico destinato alla recitazione o al canto collettivo.</t>
  </si>
  <si>
    <t>Testo poetico o religioso rivolto a una divinità o figura sacra con intento di invocazione o meditazione.</t>
  </si>
  <si>
    <t>Componimento poetico religioso medievale destinato alla lode spirituale e spesso al canto.</t>
  </si>
  <si>
    <t>Poesia ambientata in un mondo pastorale idealizzato, legata alla natura e alla vita agreste.</t>
  </si>
  <si>
    <t>Opera che critica comportamenti, persone o società attraverso ironia, parodia o denuncia.</t>
  </si>
  <si>
    <t>Componimento poetico composto tradizionalmente da quattordici versi organizzati in due quartine e due terzine.</t>
  </si>
  <si>
    <t>Componimento poetico strutturato in strofe, spesso di argomento amoroso, civile o filosofico.</t>
  </si>
  <si>
    <t>Componimento poetico organizzato in sezioni autonome, spesso in terzine o altra forma metrica.</t>
  </si>
  <si>
    <t>Componimento poetico solenne, spesso celebrativo, religioso o civile.</t>
  </si>
  <si>
    <t>Componimento lirico di tono elevato dedicato a persone, idee, eventi o temi significativi.</t>
  </si>
  <si>
    <t>Breve componimento poetico, spesso amoroso o pastorale, caratterizzato da raffinatezza stilistica.</t>
  </si>
  <si>
    <t>Componimento poetico narrativo o lirico destinato originariamente al canto e alla danza.</t>
  </si>
  <si>
    <t>Componimento poetico di dimensioni intermedie tra poesia breve e poema, con prevalenza dell'espressione lirica.</t>
  </si>
  <si>
    <t>Opera composta assemblando versi o frammenti tratti da opere precedenti.</t>
  </si>
  <si>
    <t>Componimento poetico privo di schema metrico fisso, basato su ritmo e struttura variabili.</t>
  </si>
  <si>
    <t>Poesia in cui la disposizione grafica delle parole forma un'immagine collegata al contenuto del testo.</t>
  </si>
  <si>
    <t>Lettera poetica che esprime sentimenti, riflessioni o stati d'animo personali.</t>
  </si>
  <si>
    <t>Opera teatrale caratterizzata da conflitti drammatici e spesso da un esito doloroso o catastrofico.</t>
  </si>
  <si>
    <t>Opera teatrale con tono generalmente comico o satirico, spesso orientata alla rappresentazione dei costumi sociali.</t>
  </si>
  <si>
    <t>Opera teatrale che rappresenta conflitti umani in forma seria, senza necessariamente un esito tragico.</t>
  </si>
  <si>
    <t>Forma teatrale breve basata su gesti, azioni e dialoghi in prosa.</t>
  </si>
  <si>
    <t>Composizione teatrale musicale in cui il testo è integrato con canto, musica e scenografia.</t>
  </si>
  <si>
    <t>Forma teatrale breve in cui prevalgono elementi poetici, musicali e gestuali.</t>
  </si>
  <si>
    <t>Opera teatrale che combina recitazione, canto, musica e danza in una struttura narrativa.</t>
  </si>
  <si>
    <t>Raccolta di testi diversi per autore, genere o argomento, senza un'unica classificazione prevalente.</t>
  </si>
  <si>
    <t>Valutazione delle condizioni fisiche della copia</t>
  </si>
  <si>
    <t>Prezzo originale indicato dall'editore sulla copia, nella valuta riportata sul libro</t>
  </si>
  <si>
    <t>Conversione del prezzo originale in euro, quando necessario</t>
  </si>
  <si>
    <t>Spiegazione del metodo utilizzato per la conversione (tasso cambio, fonte, data conversione, arrotondamenti)</t>
  </si>
  <si>
    <t>Indica la presenza di firme, autografi, dediche o annotazioni di particolare interesse storico o personale</t>
  </si>
  <si>
    <t>Codice o indicazione della posizione fisica del libro nella biblioteca</t>
  </si>
  <si>
    <t>Campo libero per informazioni particolari come provenienza, acquisto, curiosità, difetti, allegati, caratteristiche uniche o altre osservazioni</t>
  </si>
  <si>
    <t>Nuovo</t>
  </si>
  <si>
    <t>Copia mai utilizzata o appena acquistata, priva di segni di usura, con caratteristiche equivalenti a una copia appena uscita dalla libreria.</t>
  </si>
  <si>
    <t>Come nuovo</t>
  </si>
  <si>
    <t>Copia in condizioni quasi perfette, senza difetti rilevanti. Può presentare minimi segni di manipolazione o conservazione, ma nessuna alterazione evidente.</t>
  </si>
  <si>
    <t>Ottimo</t>
  </si>
  <si>
    <t>Copia molto ben conservata, con lievi segni del tempo o dell'utilizzo, senza compromettere l'integrità del volume.</t>
  </si>
  <si>
    <t>Buono</t>
  </si>
  <si>
    <t>Copia con normali segni di lettura o conservazione (es. leggere abrasioni, ingiallimento delle pagine, piccoli difetti estetici), ma completamente integra e utilizzabile.</t>
  </si>
  <si>
    <t>Discreto</t>
  </si>
  <si>
    <t>Copia con evidenti segni di utilizzo o invecchiamento (es. usura della copertina, macchie leggere, pieghe, annotazioni non rilevanti), ma ancora in condizioni accettabili.</t>
  </si>
  <si>
    <t>Usurato</t>
  </si>
  <si>
    <t>Copia con segni marcati di deterioramento (es. copertina rovinata, pagine rovinate, cuciture indebolite), ma ancora consultabile.</t>
  </si>
  <si>
    <t>Danneggiato</t>
  </si>
  <si>
    <t>Copia con danni significativi che compromettono parzialmente l'integrità o la fruibilità del libro (es. pagine mancanti, strappi, distacchi, gravi deterioramenti).</t>
  </si>
  <si>
    <t>Incompleto</t>
  </si>
  <si>
    <t>Copia priva di parti originali (es. pagine mancanti, tavole assenti, allegati mancanti o volumi mancanti in un'opera composta da più parti).</t>
  </si>
  <si>
    <t>Blair Eric Arthur (George Orwell)</t>
  </si>
  <si>
    <t>Dodgson Charles Lutwidge (Lewis Carroll)</t>
  </si>
  <si>
    <t>Dodgson Charles Lutwidge (Lewis Carroll); Gardner Martin</t>
  </si>
  <si>
    <t>Dumas Alexandre [padre]</t>
  </si>
  <si>
    <t>Lorenzini Carlo (Carlo Collodi)</t>
  </si>
  <si>
    <t>Pennacchioni Daniel (Daniel Pennac)</t>
  </si>
  <si>
    <t>Rowling Joanne [K.]</t>
  </si>
  <si>
    <t>Rowling Joanne [K.]; Tiffany John; Thorne Jack</t>
  </si>
  <si>
    <t>British Library</t>
  </si>
  <si>
    <t>Lenti Marina</t>
  </si>
  <si>
    <t>Vander Ark Steve</t>
  </si>
  <si>
    <t>Vargas Llosa Jorge Mario Pedro</t>
  </si>
  <si>
    <t>van Gogh Vincent Willem</t>
  </si>
  <si>
    <t>30/03/1853</t>
  </si>
  <si>
    <t>29/07/1890</t>
  </si>
  <si>
    <t>Olandese</t>
  </si>
  <si>
    <t>Saltzman Cynthia</t>
  </si>
  <si>
    <t>Lavagetto Mario; Baranelli Luca</t>
  </si>
  <si>
    <t>Angiolieri Francesco [Cecco]</t>
  </si>
  <si>
    <t>Dami Elisabetta (Geronimo Stilton)</t>
  </si>
  <si>
    <t>Pedersen [Hamsun] Knut</t>
  </si>
  <si>
    <t>Rejment Reymont Władysław Stanisław</t>
  </si>
  <si>
    <t>Schmitz Aron Hector (Italo Svevo)</t>
  </si>
  <si>
    <t>1966-1967, 1969 (prima edizione non censurata)</t>
  </si>
  <si>
    <t>Alice's Adventures in Wonderland; Through the Looking-Glass, and What Alice Found There; una selezione di lettere di Lewis Carroll</t>
  </si>
  <si>
    <t>Raccolta di racconti presi da più opere diverse (El secreto de la Baronesa; La scoperta (?); Un silbido; La rabbia (?); La pared; Il lusso (?); La condenada; Golpe doble)</t>
  </si>
  <si>
    <t>Jodorowsky Prullansky Alejandro; Giraud Jean (Moebius)</t>
  </si>
  <si>
    <t>Die Verwandlung (con in aggiunta una raccolta di racconti presi da più opere diverse)</t>
  </si>
  <si>
    <t>Histoires ou contes du temps passé, avec des moralités (Contes de ma mère l'Oye);  2 fiabe da Contes en vers (Les souhaits ridicules; Peau d'âne)</t>
  </si>
  <si>
    <t>Selezione di lettere basata su The Letters. The Complete Illustrated and Annotated Edition</t>
  </si>
  <si>
    <t>Utilizzo della copia</t>
  </si>
  <si>
    <t>Indica lo stato di lettura e utilizzo personale del volume. Permette di distinguere libri mai letti, consultati solo parzialmente o già letti completamente</t>
  </si>
  <si>
    <t>Valore</t>
  </si>
  <si>
    <t>Mai letto</t>
  </si>
  <si>
    <t>Copia mai aperta o mai utilizzata per la lettura.</t>
  </si>
  <si>
    <t>Sfogliato</t>
  </si>
  <si>
    <t>Copia consultata superficialmente, senza una lettura completa (es. visione dell'indice, immagini, capitoli casuali).</t>
  </si>
  <si>
    <t>In lettura</t>
  </si>
  <si>
    <t>Volume attualmente in corso di lettura.</t>
  </si>
  <si>
    <t>Letto parzialmente</t>
  </si>
  <si>
    <t>Libro iniziato ma non completato.</t>
  </si>
  <si>
    <t>Letto</t>
  </si>
  <si>
    <t>Libro letto completamente almeno una volta.</t>
  </si>
  <si>
    <t>Riletto</t>
  </si>
  <si>
    <t>Libro letto più volte, con una fruizione ripetuta nel tempo.</t>
  </si>
  <si>
    <t>Consultazione</t>
  </si>
  <si>
    <t>Libro utilizzato principalmente come riferimento o strumento di consultazione, senza una lettura lineare completa.</t>
  </si>
  <si>
    <t>Non utilizzabile</t>
  </si>
  <si>
    <t>Copia non fruibile per lettura o consultazione a causa di mancanze o condizioni particolari.</t>
  </si>
  <si>
    <t>Collocazione e annotazioni</t>
  </si>
  <si>
    <t>Informazioni relative alla gestione della copia all'interno della biblioteca personale, comprendendo sia la posizione fisica del volume sia il suo stato di lettura, utilizzo e qualsiasi altra informazione aggiuntiva non prevista dagli altri campi</t>
  </si>
  <si>
    <t>ID copia</t>
  </si>
  <si>
    <t>Codice identificativo univoco assegnato alla copia all'interno del catalogo. Progressivo e non duplicato, rappresenta il riferimento principale del volume nel database</t>
  </si>
  <si>
    <t>Titolo esattamente riportato sulla copia fisica posseduta, inclusi eventuali sottotitoli, prefazioni indicate in copertina o differenze rispetto al titolo originale. Identifica l'edizione effettivamente presente nella biblioteca</t>
  </si>
  <si>
    <t>Categoria generale dell'opera. Classifica il libro secondo la sua natura principale</t>
  </si>
  <si>
    <t>Specificazione più dettagliata del genere principale</t>
  </si>
  <si>
    <t>Parole chiave associate all'opera per facilitarne la ricerca. Sono termini separati da punto e virgola (;)</t>
  </si>
  <si>
    <t>Lingua nella quale l'opera è stata scritta originariamente dall'autore. Non coincide necessariamente con la lingua della copia posseduta. In caso di più lingue originali queste sono separate da punto e virgola (;)</t>
  </si>
  <si>
    <t>Cognome e nome dell'autore principale dell'opera. Eventuali aggiunte identificative tra parentesi quadre [] e nomi d'arte o pseudonimi alla fine tra parentesi tonde (). In caso di più autori questi sono separati da punto e virgola (;)</t>
  </si>
  <si>
    <t>Data di nascita dell'autore. In caso di più autori, i dati sono separati da punto e virgola (;)</t>
  </si>
  <si>
    <t>Data di morte dell'autore, "In vita" per autori viventi. In caso di più autori, i dati sono separati da punto e virgola (;)</t>
  </si>
  <si>
    <t>Nazionalità dell'autore. In caso di doppia nazionalità sono presenti entrambe se rilevanti separate da uno slash (/). In caso di più autori, i dati sono separati da punto e virgola (;)</t>
  </si>
  <si>
    <t xml:space="preserve">Rowling Joanne [K.]; Kloves Steve Keith </t>
  </si>
  <si>
    <t>Tedesca/Britannica</t>
  </si>
  <si>
    <t>Genere dell'autore. In caso di più autori, i dati sono separati da punto e virgola (;)</t>
  </si>
  <si>
    <t>Persona responsabile della selezione, organizzazione o revisione dei contenuti dell'edizione posseduta. In caso di più curatori, questi sono separati da punto e virgola (;)</t>
  </si>
  <si>
    <t>Nome del traduttore della copia posseduta. In caso di più traduttori, questi sono separati da punto e virgola (;)</t>
  </si>
  <si>
    <t>Nome dell'illustratore che ha realizzato immagini, tavole o apparati grafici presenti nell'edizione posseduta. In caso di più illustratori, questi sono separati da punto e virgola (;)</t>
  </si>
  <si>
    <t>Serra Laura</t>
  </si>
  <si>
    <t>Milano (MI), Italia</t>
  </si>
  <si>
    <t>Oscar Absolute</t>
  </si>
  <si>
    <t>Flatlandia. Racconto fantastico a più dimensioni</t>
  </si>
  <si>
    <t>Flatland: A Romance of Many Dimensions</t>
  </si>
  <si>
    <t>Abbott Abbott Edwin</t>
  </si>
  <si>
    <t>20/12/1838</t>
  </si>
  <si>
    <t>D'Amico Masolino</t>
  </si>
  <si>
    <t>Indica se l'autore ha ricevuto un Premio Nobel, specificando la disciplina per cui è stato assegnato e l'anno del conferimento. In caso di più Premi Nobel ricevuti dallo stesso autore, questi sono separati da uno slash (/). In caso di più autori, i dati sono separati da punto e virgola (;)</t>
  </si>
  <si>
    <t>Indica se l'autore ha ricevuto un Premio Pulitzer, specificando la categoria per cui è stato assegnato e l'anno del conferimento. In caso di più Premi Pulitzer ricevuti dallo stesso autore, questi sono separati da uno slash (/). In caso di più autori, i dati sono separati da punto e virgola (;)</t>
  </si>
  <si>
    <t>No</t>
  </si>
  <si>
    <t>No; No</t>
  </si>
  <si>
    <t>978-88-459-0982-5</t>
  </si>
  <si>
    <t>Gli Adelphi</t>
  </si>
  <si>
    <t>Rilegatura</t>
  </si>
  <si>
    <t>Rilegatura economica con fogli piegati e fissati tramite graffette metalliche sul dorso. Utilizzata per opuscoli, riviste, fumetti e pubblicazioni di poche pagine.</t>
  </si>
  <si>
    <t>Fogli forati e uniti tramite spirale o anelli metallici o plastici. Permette un'apertura completamente piatta del volume.</t>
  </si>
  <si>
    <t>Copertina morbida in cartoncino flessibile incollata o cucita al blocco delle pagine. È la rilegatura morbida più comune.</t>
  </si>
  <si>
    <t>Brossura dotata di lembi laterali ripiegati all'interno della copertina, spesso utilizzati per la biografia dell'autore, la presentazione del libro o come segnalibro.</t>
  </si>
  <si>
    <t>Rilegatura con copertina rigida realizzata in cartone rivestito (carta, tela o altri materiali), più resistente della brossura.</t>
  </si>
  <si>
    <t>Cartonato protetto da una sovraccoperta removibile in carta stampata, tipica delle edizioni librarie di pregio.</t>
  </si>
  <si>
    <t>Rilegatura rigida con copertina rivestita in tessuto, comune in edizioni eleganti o da collezione.</t>
  </si>
  <si>
    <t>Rilegatura rigida con rivestimento in pelle naturale o sintetica, tipica di edizioni di lusso, pregiate o antiche.</t>
  </si>
  <si>
    <t>Rilegatura tradizionale con rivestimento in pergamena animale, caratteristica di manoscritti e libri antichi o di particolare valore.</t>
  </si>
  <si>
    <t>Rilegature artistiche o non riconducibili alle categorie precedenti (ad esempio materiali particolari, cuciture decorative o edizioni d'artista).</t>
  </si>
  <si>
    <t>Anno edizione</t>
  </si>
  <si>
    <t>Contributi aggiuntivi</t>
  </si>
  <si>
    <t>Indica la presenza di introduzioni, prefazioni, postfazioni, saggi critici, commentari o altri apparati testuali aggiuntivi presenti nell'edizione posseduta. Specifica il tipo di contributo e il relativo autore, inserendo l'autore tra parentesi tonde (). In caso di più contributi, questi sono separati da punto e virgola (;)</t>
  </si>
  <si>
    <t>Prefazione (D'Amico Masolino)</t>
  </si>
  <si>
    <t>geometria; quarta dimensione; spazio multidimensionale; satira sociale; critica sociale; società vittoriana; gerarchia sociale; filosofia; immaginazione scientifica; fantascienza; allegoria; mondo bidimensionale; prospettiva; razionalismo; educazione; conoscenza; percezione della realtà</t>
  </si>
  <si>
    <t>Anna Karenina</t>
  </si>
  <si>
    <t>Anna Karenina (Анна Каренина)</t>
  </si>
  <si>
    <t>Titolo con cui l'opera è stata pubblicata per la prima volta nella lingua originale. Può differire dal titolo della copia posseduta in caso di traduzioni, ristampe o modifiche editoriali. Il titolo nell'alfabeto originale non traslitterato viene riportato tra parentesi tonde (). Eventuali indicazioni relative alla prima edizione o a una specifica edizione originale vengono riportate tra parentesi quadre []</t>
  </si>
  <si>
    <t>La scienza in cucina e l'arte di mangiar bene [14ª edizione]</t>
  </si>
  <si>
    <t>09/09/1828</t>
  </si>
  <si>
    <t>Tolstòj Lev Nikolàevič</t>
  </si>
  <si>
    <t>Zveteremich Pietro</t>
  </si>
  <si>
    <t>I grandi libri</t>
  </si>
  <si>
    <t>amore; adulterio; matrimonio; famiglia; società russa; aristocrazia; morale; ipocrisia sociale; conflitto interiore; passioni; ricerca della felicità; maternità; identità femminile; condizione della donna; psicologia; realismo russo; critica sociale; vita rurale; modernizzazione; società ottocentesca</t>
  </si>
  <si>
    <t>I ragazzi della via Pál. Romanzo in edizione integrale con un ricco apparato didattico</t>
  </si>
  <si>
    <t>Introduzione (Masini Beatrice)</t>
  </si>
  <si>
    <t>10ª ristampa</t>
  </si>
  <si>
    <t>Roma (RM), Italia</t>
  </si>
  <si>
    <t>978-88-347-4041-5</t>
  </si>
  <si>
    <t>Viaggio nelle Cévennes in compagnia di un asino</t>
  </si>
  <si>
    <t>Pignata Piero</t>
  </si>
  <si>
    <t>Prefazione (Pignata Piero)</t>
  </si>
  <si>
    <t>Ibis</t>
  </si>
  <si>
    <t>L' ippogrifo</t>
  </si>
  <si>
    <t>978-88-7164-400-4</t>
  </si>
  <si>
    <t>978-88-11-68416-9</t>
  </si>
  <si>
    <t>Como (CO), Italia</t>
  </si>
  <si>
    <t>Travels with a Donkey in the Cévennes</t>
  </si>
  <si>
    <t>Stevenson Robert Louis [Lewis Balfour]</t>
  </si>
  <si>
    <t>13/11/1850</t>
  </si>
  <si>
    <t>03/12/1894</t>
  </si>
  <si>
    <t>viaggio a piedi; escursionismo; Cévennes; Francia; cammino; paesaggio rurale; montagna; avventura; asino; compagno di viaggio; riflessione personale; diario di viaggio; autobiografia; osservazione sociale; cultura francese; solitudine; vita semplice; natura; esplorazione; impressioni di viaggio</t>
  </si>
  <si>
    <t>Keywords</t>
  </si>
  <si>
    <t>Le basi morali di una società arretrata</t>
  </si>
  <si>
    <t>The Moral Basis of a Backward Society</t>
  </si>
  <si>
    <t>Banfield Edward Christie</t>
  </si>
  <si>
    <t>Saggio introduttivo "Ritorno a Montegrano" (Bagnasco Arnaldo)</t>
  </si>
  <si>
    <t>Guglielmi Giuseppe; Colombis Alessio; De Masi Domenico</t>
  </si>
  <si>
    <t>il Mulino</t>
  </si>
  <si>
    <t>Bologna (BO), Italia</t>
  </si>
  <si>
    <t>Biblioteca paperbacks</t>
  </si>
  <si>
    <t xml:space="preserve">978-88-15-13416-5 </t>
  </si>
  <si>
    <t>sociologia; cultura meridionale; Mezzogiorno italiano; Italia rurale; familismo amorale; arretratezza sociale; sviluppo economico; comunità locale; comportamento collettivo; istituzioni sociali; politica locale; analisi sociale; ricerca sul campo; capitale sociale; relazioni familiari</t>
  </si>
  <si>
    <t>Intervista sull'identità</t>
  </si>
  <si>
    <t>978-88-420-7008-5</t>
  </si>
  <si>
    <t>Saggi tascabili Laterza</t>
  </si>
  <si>
    <t>Editori Laterza</t>
  </si>
  <si>
    <t>Identity: Conversations with Benedetto Vecchi</t>
  </si>
  <si>
    <t>Vecchi Benedetto</t>
  </si>
  <si>
    <t>Premessa (Vecchi Benedetto)</t>
  </si>
  <si>
    <t>Galimberti Fabio</t>
  </si>
  <si>
    <t>Città indicata come sede editoriale nella pubblicazione. In caso di più sedi, queste sono separate da punto e virgola (;)</t>
  </si>
  <si>
    <t>Lingua nella quale è scritta la copia fisicamente posseduta. In caso di più lingue originali, queste sono separate da punto e virgola (;)</t>
  </si>
  <si>
    <t>Roma (RM), Italia; Bari (BA), Italia</t>
  </si>
  <si>
    <t>Bauman Zygmunt</t>
  </si>
  <si>
    <t>Polacca/Britannica</t>
  </si>
  <si>
    <t>identità; società contemporanea; appartenenza; comunità; relazioni sociali; cultura; cambiamento sociale; frammentazione sociale; tecnologia; società dei consumi; filosofia sociale; sociologia; intervista; riflessione filosofica; teoria sociale; contemporaneità; trasformazioni culturali</t>
  </si>
  <si>
    <t>Cultura popolare nell'Europa moderna</t>
  </si>
  <si>
    <t>Burke Ulick Peter</t>
  </si>
  <si>
    <t>Gli Oscar Studio</t>
  </si>
  <si>
    <t>5000 lire italiane</t>
  </si>
  <si>
    <t>Il calcolo si articola su due fasi: rivalutazione monetaria 1980-2001 (http://www.sandrodiremigio.com/economia/tabella_rivalutazione_lira_euro.htm); conversione in Euro al tasso fisso</t>
  </si>
  <si>
    <t>Il calcolo si articola su due fasi: rivalutazione monetaria 1967-2001 (http://www.sandrodiremigio.com/economia/tabella_rivalutazione_lira_euro.htm); conversione in Euro al tasso fisso</t>
  </si>
  <si>
    <t>Il calcolo si articola su due fasi: rivalutazione monetaria 1985-2001 (http://www.sandrodiremigio.com/economia/tabella_rivalutazione_lira_euro.htm); conversione in Euro al tasso fisso</t>
  </si>
  <si>
    <t>Il calcolo si articola su due fasi: rivalutazione monetaria 1968-2001 (http://www.sandrodiremigio.com/economia/tabella_rivalutazione_lira_euro.htm); conversione in Euro al tasso fisso</t>
  </si>
  <si>
    <t>Il calcolo si articola su due fasi: rivalutazione monetaria 1969-2001 (http://www.sandrodiremigio.com/economia/tabella_rivalutazione_lira_euro.htm); conversione in Euro al tasso fisso</t>
  </si>
  <si>
    <t>Il calcolo si articola su due fasi: rivalutazione monetaria 1982-2001 (http://www.sandrodiremigio.com/economia/tabella_rivalutazione_lira_euro.htm); conversione in Euro al tasso fisso</t>
  </si>
  <si>
    <t>Ginzburg Carlo</t>
  </si>
  <si>
    <t xml:space="preserve">Canobbio-Codelli Federico </t>
  </si>
  <si>
    <t>Introduzione (Ginzburg Carlo)</t>
  </si>
  <si>
    <t>Popular Culture in Early Modern Europe</t>
  </si>
  <si>
    <t>cultura popolare; Europa moderna; storia culturale; storia sociale; età moderna; tradizioni popolari; folklore; cultura contadina; cultura di massa; oralità; religione popolare; feste popolari; rituali; usanze; mentalità collettive; identità culturale; classi sociali; antropologia culturale</t>
  </si>
  <si>
    <t>Analisi dei dati per il Data Mining</t>
  </si>
  <si>
    <t>41 euro</t>
  </si>
  <si>
    <t>Carrocci editore</t>
  </si>
  <si>
    <t>Studi superiori</t>
  </si>
  <si>
    <t>978-88-430-6033-7</t>
  </si>
  <si>
    <t>1ª ristampa</t>
  </si>
  <si>
    <t>F; M</t>
  </si>
  <si>
    <t>Italiana; Italiana</t>
  </si>
  <si>
    <t>Fraire Mary; Rizzi Alfredo</t>
  </si>
  <si>
    <t>?; ?</t>
  </si>
  <si>
    <t>data mining; analisi dei dati; data science; statistica; apprendimento automatico; machine learning; classificazione; clustering; regressione; alberi decisionali; reti neurali; regole di associazione; preprocessamento dei dati; data warehouse; knowledge discovery; pattern recognition</t>
  </si>
  <si>
    <t>Analisi multidimensionale dei dati. Metodi, strategie e criteri d'interpretazione</t>
  </si>
  <si>
    <t>Bolasco Sergio</t>
  </si>
  <si>
    <t>Aulamagna</t>
  </si>
  <si>
    <t>978-88-290-1595-5</t>
  </si>
  <si>
    <t>analisi multidimensionale; analisi dei dati; statistica multivariata; data analysis; analisi fattoriale; analisi delle corrispondenze; analisi delle componenti principali; cluster analysis; classificazione; visualizzazione dei dati; interpretazione dei dati; riduzione della dimensionalità; modelli multivariati</t>
  </si>
  <si>
    <t>Introduzione all'apprendimento statistico con applicazioni in R</t>
  </si>
  <si>
    <t>Piccin Nuova Libreria</t>
  </si>
  <si>
    <t>Padova (PD), Italia</t>
  </si>
  <si>
    <t>978-88-299-3094-4</t>
  </si>
  <si>
    <t>An Introduction to Statistical Learning with Applications in R</t>
  </si>
  <si>
    <t>Statunitense; Statunitense; Statunitense; Statunitense</t>
  </si>
  <si>
    <t>M; F; M; M</t>
  </si>
  <si>
    <t>No; No; No; No</t>
  </si>
  <si>
    <t>Salini Silvia; Gaito Sabrina; Boracchi Patrizia; Ambrogi Federico; Manzi Giancarlo; Biganzoli Elia</t>
  </si>
  <si>
    <t>James Gareth Michael; Witten Daniela M.; Hastie Trevor John; Tibshirani Robert</t>
  </si>
  <si>
    <t>?; ?; 27/06/1953; 10/07/1956</t>
  </si>
  <si>
    <t>In vita; In vita; In vita; In vita</t>
  </si>
  <si>
    <t>Gli elementi dell'apprendimento statistico. Data mining, inferenza e previsione. Edizione italiana sulla seconda in lingua inglese</t>
  </si>
  <si>
    <t>Hastie Trevor John; Tibshirani Robert; Friedman Jerome Harold</t>
  </si>
  <si>
    <t>27/06/1953; 10/07/1956; 29/12/1939</t>
  </si>
  <si>
    <t>Statunitense; Statunitense; Statunitense</t>
  </si>
  <si>
    <t>No; No; No</t>
  </si>
  <si>
    <t>M; M; M</t>
  </si>
  <si>
    <t>45 euro</t>
  </si>
  <si>
    <t>978-88-299-3272-6</t>
  </si>
  <si>
    <t>The Elements of Statistical Learning. Data Mining, Inference, and Prediction [Second Edition]</t>
  </si>
  <si>
    <t>Biganzoli Elia; Boracchi Patrizia; Gaito Sabrina; Nicolussi Federica; Salini Silvia; Ambrogi Federico; Manzi Giancarlo; Marano Giuseppe; Zignani Matteo; Biganzoli Giacomo</t>
  </si>
  <si>
    <t>apprendimento statistico; machine learning; data mining; inferenza; previsione; regressione; classificazione; clustering; reti neurali; support vector machine; modelli statistici; data science</t>
  </si>
  <si>
    <t>apprendimento statistico; machine learning; linguaggio R; analisi dei dati; regressione; classificazione; clustering; alberi decisionali; support vector machine; modelli statistici; previsione; statistica applicata</t>
  </si>
  <si>
    <t>Psicobiologia [Decima edizione]</t>
  </si>
  <si>
    <t>Biopsychology [10ᵗʰ edition]</t>
  </si>
  <si>
    <t xml:space="preserve">M;M </t>
  </si>
  <si>
    <t>Facoetti Andrea; Ferrara Michele; Marangolo Paola; Pizzorusso Tommaso</t>
  </si>
  <si>
    <t>Edra</t>
  </si>
  <si>
    <t>Pinel John P. J.; Barnes Steven J.</t>
  </si>
  <si>
    <t>978-88-214-4777-8</t>
  </si>
  <si>
    <t>59 euro</t>
  </si>
  <si>
    <t>Atlante di neuroscienze di Netter [Quarta edizione]</t>
  </si>
  <si>
    <t>19,9 euro</t>
  </si>
  <si>
    <t>978-88-214-5629-9</t>
  </si>
  <si>
    <t>Tronca Diego [a cura di]</t>
  </si>
  <si>
    <t>Cappello Francesco; Carpino Guido; Papa Michele; Quartu Marina</t>
  </si>
  <si>
    <t>Netter's Atlas of Neuroscience [4ᵗʰ edition]</t>
  </si>
  <si>
    <t>Felten David L.; O'Banion Michael Kerry, Maida Mary Summo</t>
  </si>
  <si>
    <t>?; ?; ?</t>
  </si>
  <si>
    <t>M; M; F</t>
  </si>
  <si>
    <t>Netter Frank Henry; Machado Carlos; Perkins James A.</t>
  </si>
  <si>
    <t>neuroscienze; anatomia del sistema nervoso; neuroanatomia; cervello; midollo spinale; sistema nervoso periferico; neurobiologia; anatomia funzionale; circuiti neuronali; immagini anatomiche; atlante medico; neuroscienze cliniche</t>
  </si>
  <si>
    <t>psicobiologia; neuroscienze; comportamento umano; sistema nervoso; cervello; basi biologiche del comportamento; neuroni; neurotrasmettitori; apprendimento; memoria; emozioni; cognizione</t>
  </si>
  <si>
    <t>Anno della prima pubblicazione dell'opera. Indica normalmente la data di nascita dell'opera, non dell'edizione posseduta. Per opere identificate da una specifica edizione di riferimento viene riportato l'anno di tale edizione. In caso di volume che racchiude più opere gli anni sono separati da punto e virgola (;)</t>
  </si>
  <si>
    <t>Codice identificativo internazionale dell'edizione composto da 13 cifre. Permette di distinguere una specifica edizione del libro. Se l'ISBN-13 non è presente, è usato l'ISBN-10 corrispondente. Se non è disponibile né l'ISBN-13 né l'ISBN-10, il campo è lasciato vuoto</t>
  </si>
  <si>
    <t>Prestiti</t>
  </si>
  <si>
    <t>Informazioni relative ai prestiti della copia, comprendendo sia il prestatario e la data del prestito attualmente in corso sia lo storico dei prestiti precedenti</t>
  </si>
  <si>
    <t>Nome della persona che ha attualmente il libro. Vuoto se il libro è disponibile</t>
  </si>
  <si>
    <t>Data in cui il libro è stato prestato</t>
  </si>
  <si>
    <t>Prestato a</t>
  </si>
  <si>
    <t>Data prestito</t>
  </si>
  <si>
    <t>Storico prestiti</t>
  </si>
  <si>
    <t>Elenco dei prestiti precedenti. In caso di più prestiti questi sono divisi da punto e virgola (;)</t>
  </si>
  <si>
    <t>Ferrante Elena</t>
  </si>
  <si>
    <t>L'amica geniale 1</t>
  </si>
  <si>
    <t>L'amica geniale 2</t>
  </si>
  <si>
    <t>L'amica geniale 4</t>
  </si>
  <si>
    <t>L'amica geniale 3</t>
  </si>
  <si>
    <t>Hunger games 1</t>
  </si>
  <si>
    <t>Hunger games 2</t>
  </si>
  <si>
    <t>Hunger games 3</t>
  </si>
  <si>
    <t>Alice Ippocampo 1</t>
  </si>
  <si>
    <t>Alice Ippocampo 2</t>
  </si>
  <si>
    <t>Racconti di Matheson 1</t>
  </si>
  <si>
    <t>Racconti di Matheson 2</t>
  </si>
  <si>
    <t>Racconti di Matheson 3</t>
  </si>
  <si>
    <t>Racconti di Matheson 4</t>
  </si>
  <si>
    <t>Omero in prosa 1</t>
  </si>
  <si>
    <t>Omero in prosa 2</t>
  </si>
  <si>
    <t>Animali fantastici 1</t>
  </si>
  <si>
    <t>Animali fantastici 2</t>
  </si>
  <si>
    <t>Animali fantastici 3</t>
  </si>
  <si>
    <t>Harry Potter 7</t>
  </si>
  <si>
    <t>Harry Potter 6</t>
  </si>
  <si>
    <t>Harry Potter 8</t>
  </si>
  <si>
    <t>Harry Potter 5</t>
  </si>
  <si>
    <t>Anno 1ª pubblicazione dell'edizione posseduta</t>
  </si>
  <si>
    <t>Copy ID</t>
  </si>
  <si>
    <t>Owned Copy Title</t>
  </si>
  <si>
    <t>Original First Edition Title</t>
  </si>
  <si>
    <t>Book Genre</t>
  </si>
  <si>
    <t>Book Subgenre</t>
  </si>
  <si>
    <t>Original First Edition Year</t>
  </si>
  <si>
    <t>Original Language</t>
  </si>
  <si>
    <t>Author</t>
  </si>
  <si>
    <t>Birth Date</t>
  </si>
  <si>
    <t>Death Date</t>
  </si>
  <si>
    <t>Author Nationality</t>
  </si>
  <si>
    <t>Author Gender</t>
  </si>
  <si>
    <t>Nobel Prize</t>
  </si>
  <si>
    <t>Pulitzer Prize</t>
  </si>
  <si>
    <t>Editor / Curator</t>
  </si>
  <si>
    <t>Additional Contributions</t>
  </si>
  <si>
    <t>Translator</t>
  </si>
  <si>
    <t>Illustrator</t>
  </si>
  <si>
    <t>Owned Edition First Publication Year</t>
  </si>
  <si>
    <t>Edition Year</t>
  </si>
  <si>
    <t>Edition Number</t>
  </si>
  <si>
    <t>Copy Language</t>
  </si>
  <si>
    <t>Publisher</t>
  </si>
  <si>
    <t>Publication City</t>
  </si>
  <si>
    <t>Series / Collection</t>
  </si>
  <si>
    <t>Series Number</t>
  </si>
  <si>
    <t>Pages</t>
  </si>
  <si>
    <t>Binding</t>
  </si>
  <si>
    <t>Physical Condition</t>
  </si>
  <si>
    <t>Cover Price</t>
  </si>
  <si>
    <t>Price in EUR</t>
  </si>
  <si>
    <t>EUR Conversion Note</t>
  </si>
  <si>
    <t>Signature / Dedication</t>
  </si>
  <si>
    <t>Location</t>
  </si>
  <si>
    <t>Reading Status</t>
  </si>
  <si>
    <t>Notes</t>
  </si>
  <si>
    <t>Borrowed By</t>
  </si>
  <si>
    <t>Loan Date</t>
  </si>
  <si>
    <t>Loan History</t>
  </si>
  <si>
    <t>Indica l'anno dell'edizione o della ristampa posseduta</t>
  </si>
  <si>
    <t>Indica il numero dell'edizione o della ristampa posseduta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</si>
</sst>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0" x14ac:knownFonts="1">
    <font>
      <sz val="11"/>
      <color theme="1"/>
      <name val="Aptos Narrow"/>
      <family val="2"/>
      <scheme val="minor"/>
    </font>
    <font>
      <sz val="12"/>
      <color theme="1"/>
      <name val="Baskerville Old Face"/>
      <family val="1"/>
    </font>
    <font>
      <b/>
      <sz val="14"/>
      <color theme="1"/>
      <name val="Baskerville Old Face"/>
      <family val="1"/>
    </font>
    <font>
      <sz val="12"/>
      <color rgb="FFFF0000"/>
      <name val="Baskerville Old Face"/>
      <family val="1"/>
    </font>
    <font>
      <b/>
      <sz val="16"/>
      <color theme="1"/>
      <name val="Baskerville Old Face"/>
      <family val="1"/>
    </font>
    <font>
      <b/>
      <sz val="10"/>
      <color theme="1"/>
      <name val="Baskerville Old Face"/>
      <family val="1"/>
    </font>
    <font>
      <sz val="10"/>
      <color theme="1"/>
      <name val="Baskerville Old Face"/>
      <family val="1"/>
    </font>
    <font>
      <b/>
      <sz val="12"/>
      <color theme="1"/>
      <name val="Baskerville Old Face"/>
      <family val="1"/>
    </font>
    <font>
      <sz val="8"/>
      <name val="Aptos Narrow"/>
      <family val="2"/>
      <scheme val="minor"/>
    </font>
    <font>
      <sz val="11"/>
      <color theme="1"/>
      <name val="Baskerville Old Face"/>
      <family val="1"/>
    </font>
  </fonts>
  <fills count="3">
    <fill>
      <patternFill patternType="none"/>
    </fill>
    <fill>
      <patternFill patternType="gray125"/>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s>
  <cellStyleXfs count="1">
    <xf numFmtId="0" fontId="0" fillId="0" borderId="0"/>
  </cellStyleXfs>
  <cellXfs count="121">
    <xf numFmtId="0" fontId="0" fillId="0" borderId="0" xfId="0"/>
    <xf numFmtId="0" fontId="1" fillId="0" borderId="0" xfId="0" applyFont="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4" xfId="0"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3" fillId="0" borderId="9"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164" fontId="1" fillId="0" borderId="19" xfId="0" applyNumberFormat="1"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164" fontId="1" fillId="0" borderId="17" xfId="0" applyNumberFormat="1"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wrapText="1"/>
    </xf>
    <xf numFmtId="164" fontId="3" fillId="0" borderId="19" xfId="0" applyNumberFormat="1" applyFont="1" applyBorder="1" applyAlignment="1">
      <alignment horizontal="center" vertical="center"/>
    </xf>
    <xf numFmtId="0" fontId="3" fillId="0" borderId="19" xfId="0" applyFont="1" applyBorder="1" applyAlignment="1">
      <alignment horizontal="center" vertical="center"/>
    </xf>
    <xf numFmtId="0" fontId="3" fillId="0" borderId="10" xfId="0" applyFont="1" applyBorder="1" applyAlignment="1">
      <alignment horizontal="center" vertical="center"/>
    </xf>
    <xf numFmtId="164" fontId="3" fillId="0" borderId="10" xfId="0" applyNumberFormat="1" applyFont="1" applyBorder="1" applyAlignment="1">
      <alignment horizontal="center" vertical="center"/>
    </xf>
    <xf numFmtId="0" fontId="3" fillId="0" borderId="18" xfId="0" applyFont="1" applyBorder="1" applyAlignment="1">
      <alignment horizontal="center" vertical="center"/>
    </xf>
    <xf numFmtId="0" fontId="3" fillId="0" borderId="20" xfId="0" applyFont="1" applyBorder="1" applyAlignment="1">
      <alignment horizontal="center" vertical="center"/>
    </xf>
    <xf numFmtId="0" fontId="5" fillId="0" borderId="1" xfId="0" applyFont="1" applyBorder="1" applyAlignment="1">
      <alignment horizontal="left" vertical="center"/>
    </xf>
    <xf numFmtId="0" fontId="5" fillId="0" borderId="24" xfId="0" applyFont="1" applyBorder="1" applyAlignment="1">
      <alignment horizontal="left" vertical="center"/>
    </xf>
    <xf numFmtId="0" fontId="6" fillId="0" borderId="25" xfId="0" applyFont="1" applyBorder="1" applyAlignment="1">
      <alignment horizontal="left" vertical="center"/>
    </xf>
    <xf numFmtId="0" fontId="6" fillId="0" borderId="22" xfId="0" applyFont="1" applyBorder="1" applyAlignment="1">
      <alignment horizontal="left" vertical="center"/>
    </xf>
    <xf numFmtId="0" fontId="6" fillId="0" borderId="26" xfId="0" applyFont="1" applyBorder="1" applyAlignment="1">
      <alignment horizontal="left" vertical="center"/>
    </xf>
    <xf numFmtId="0" fontId="6" fillId="0" borderId="20" xfId="0" applyFont="1" applyBorder="1" applyAlignment="1">
      <alignment horizontal="left" vertical="center"/>
    </xf>
    <xf numFmtId="0" fontId="6" fillId="0" borderId="27" xfId="0" applyFont="1" applyBorder="1" applyAlignment="1">
      <alignment horizontal="left" vertical="center"/>
    </xf>
    <xf numFmtId="0" fontId="6" fillId="0" borderId="28" xfId="0" applyFont="1" applyBorder="1" applyAlignment="1">
      <alignment horizontal="left" vertical="center"/>
    </xf>
    <xf numFmtId="0" fontId="6" fillId="0" borderId="29" xfId="0" applyFont="1" applyBorder="1" applyAlignment="1">
      <alignment horizontal="left" vertical="center"/>
    </xf>
    <xf numFmtId="0" fontId="6" fillId="0" borderId="30" xfId="0" applyFont="1" applyBorder="1" applyAlignment="1">
      <alignment horizontal="left" vertical="center"/>
    </xf>
    <xf numFmtId="0" fontId="6" fillId="0" borderId="26" xfId="0" applyFont="1" applyBorder="1" applyAlignment="1">
      <alignment vertical="center"/>
    </xf>
    <xf numFmtId="0" fontId="6" fillId="0" borderId="27" xfId="0" applyFont="1" applyBorder="1" applyAlignment="1">
      <alignment vertical="center"/>
    </xf>
    <xf numFmtId="0" fontId="6" fillId="0" borderId="28" xfId="0" applyFont="1" applyBorder="1" applyAlignment="1">
      <alignment vertical="center"/>
    </xf>
    <xf numFmtId="0" fontId="6" fillId="0" borderId="29" xfId="0" applyFont="1" applyBorder="1" applyAlignment="1">
      <alignment vertical="center"/>
    </xf>
    <xf numFmtId="0" fontId="6" fillId="0" borderId="25" xfId="0" applyFont="1" applyBorder="1" applyAlignment="1">
      <alignment vertical="center"/>
    </xf>
    <xf numFmtId="0" fontId="6" fillId="0" borderId="31" xfId="0" applyFont="1" applyBorder="1" applyAlignment="1">
      <alignment vertical="center"/>
    </xf>
    <xf numFmtId="0" fontId="5" fillId="0" borderId="1" xfId="0" applyFont="1" applyBorder="1" applyAlignment="1">
      <alignment horizontal="center" vertical="center"/>
    </xf>
    <xf numFmtId="0" fontId="5" fillId="0" borderId="3" xfId="0" applyFont="1" applyBorder="1" applyAlignment="1">
      <alignment horizontal="center" vertical="center"/>
    </xf>
    <xf numFmtId="0" fontId="5" fillId="0" borderId="3" xfId="0" applyFont="1" applyBorder="1" applyAlignment="1">
      <alignment horizontal="left" vertical="center"/>
    </xf>
    <xf numFmtId="0" fontId="6" fillId="0" borderId="31" xfId="0" applyFont="1" applyBorder="1" applyAlignment="1">
      <alignment horizontal="left" vertical="center"/>
    </xf>
    <xf numFmtId="0" fontId="5" fillId="0" borderId="32" xfId="0" applyFont="1" applyBorder="1" applyAlignment="1">
      <alignment horizontal="left" vertical="center"/>
    </xf>
    <xf numFmtId="0" fontId="6" fillId="0" borderId="21" xfId="0" applyFont="1" applyBorder="1" applyAlignment="1">
      <alignment horizontal="left" vertical="center"/>
    </xf>
    <xf numFmtId="0" fontId="6" fillId="0" borderId="18" xfId="0" applyFont="1" applyBorder="1" applyAlignment="1">
      <alignment horizontal="left" vertical="center"/>
    </xf>
    <xf numFmtId="0" fontId="6" fillId="0" borderId="33" xfId="0" applyFont="1" applyBorder="1" applyAlignment="1">
      <alignment horizontal="left" vertical="center"/>
    </xf>
    <xf numFmtId="14" fontId="1" fillId="0" borderId="19" xfId="0" applyNumberFormat="1" applyFont="1" applyBorder="1" applyAlignment="1">
      <alignment horizontal="center" vertical="center"/>
    </xf>
    <xf numFmtId="14" fontId="3" fillId="0" borderId="19" xfId="0" applyNumberFormat="1" applyFont="1" applyBorder="1" applyAlignment="1">
      <alignment horizontal="center" vertical="center"/>
    </xf>
    <xf numFmtId="14" fontId="3" fillId="0" borderId="10" xfId="0" applyNumberFormat="1"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4" xfId="0" applyFont="1" applyBorder="1" applyAlignment="1">
      <alignment horizontal="center" vertical="center"/>
    </xf>
    <xf numFmtId="0" fontId="2" fillId="0" borderId="3" xfId="0" applyFont="1" applyBorder="1" applyAlignment="1">
      <alignment horizontal="center" vertical="center"/>
    </xf>
    <xf numFmtId="0" fontId="1" fillId="0" borderId="25" xfId="0" applyFont="1" applyBorder="1" applyAlignment="1">
      <alignment horizontal="center" vertical="center"/>
    </xf>
    <xf numFmtId="0" fontId="1" fillId="0" borderId="31" xfId="0" applyFont="1" applyBorder="1" applyAlignment="1">
      <alignment horizontal="center" vertical="center"/>
    </xf>
    <xf numFmtId="0" fontId="1" fillId="0" borderId="26"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37" xfId="0" applyFont="1" applyBorder="1" applyAlignment="1">
      <alignment horizontal="center" vertical="center"/>
    </xf>
    <xf numFmtId="0" fontId="1" fillId="0" borderId="29" xfId="0" applyFont="1" applyBorder="1" applyAlignment="1">
      <alignment horizontal="center" vertical="center"/>
    </xf>
    <xf numFmtId="0" fontId="1" fillId="0" borderId="17" xfId="0" applyFont="1" applyBorder="1" applyAlignment="1">
      <alignment horizontal="center" vertical="center" wrapText="1"/>
    </xf>
    <xf numFmtId="0" fontId="1" fillId="0" borderId="19"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0" xfId="0" applyAlignment="1">
      <alignment horizontal="center" vertical="center"/>
    </xf>
    <xf numFmtId="0" fontId="9" fillId="0" borderId="0" xfId="0" applyFont="1" applyAlignment="1">
      <alignment horizontal="center" vertical="center"/>
    </xf>
    <xf numFmtId="0" fontId="0" fillId="0" borderId="0" xfId="0" applyAlignment="1">
      <alignment horizontal="left" vertical="top"/>
    </xf>
    <xf numFmtId="0" fontId="1" fillId="2" borderId="10" xfId="0" applyFont="1" applyFill="1" applyBorder="1" applyAlignment="1">
      <alignment horizontal="left" vertical="top"/>
    </xf>
    <xf numFmtId="0" fontId="1" fillId="2" borderId="19" xfId="0" applyFont="1" applyFill="1" applyBorder="1" applyAlignment="1">
      <alignment horizontal="left" vertical="top"/>
    </xf>
    <xf numFmtId="0" fontId="1" fillId="2" borderId="27" xfId="0" applyFont="1" applyFill="1" applyBorder="1" applyAlignment="1">
      <alignment horizontal="left" vertical="top"/>
    </xf>
    <xf numFmtId="0" fontId="1" fillId="2" borderId="37" xfId="0" applyFont="1" applyFill="1" applyBorder="1" applyAlignment="1">
      <alignment horizontal="left" vertical="top"/>
    </xf>
    <xf numFmtId="0" fontId="1" fillId="2" borderId="29" xfId="0" applyFont="1" applyFill="1" applyBorder="1" applyAlignment="1">
      <alignment horizontal="left" vertical="top"/>
    </xf>
    <xf numFmtId="0" fontId="2" fillId="2" borderId="1" xfId="0" applyFont="1" applyFill="1" applyBorder="1" applyAlignment="1">
      <alignment horizontal="left" vertical="top"/>
    </xf>
    <xf numFmtId="0" fontId="2" fillId="2" borderId="2" xfId="0" applyFont="1" applyFill="1" applyBorder="1" applyAlignment="1">
      <alignment horizontal="left" vertical="top"/>
    </xf>
    <xf numFmtId="0" fontId="2" fillId="2" borderId="3" xfId="0" applyFont="1" applyFill="1" applyBorder="1" applyAlignment="1">
      <alignment horizontal="left" vertical="top"/>
    </xf>
    <xf numFmtId="0" fontId="1" fillId="2" borderId="42" xfId="0" applyFont="1" applyFill="1" applyBorder="1" applyAlignment="1">
      <alignment horizontal="left" vertical="top"/>
    </xf>
    <xf numFmtId="0" fontId="1" fillId="2" borderId="43" xfId="0" applyFont="1" applyFill="1" applyBorder="1" applyAlignment="1">
      <alignment horizontal="left" vertical="top"/>
    </xf>
    <xf numFmtId="0" fontId="1" fillId="2" borderId="36" xfId="0" applyFont="1" applyFill="1" applyBorder="1" applyAlignment="1">
      <alignment horizontal="left" vertical="top"/>
    </xf>
    <xf numFmtId="0" fontId="1" fillId="2" borderId="35" xfId="0" applyFont="1" applyFill="1" applyBorder="1" applyAlignment="1">
      <alignment horizontal="left" vertical="top"/>
    </xf>
    <xf numFmtId="0" fontId="1" fillId="2" borderId="40" xfId="0" applyFont="1" applyFill="1" applyBorder="1" applyAlignment="1">
      <alignment horizontal="left" vertical="top"/>
    </xf>
    <xf numFmtId="0" fontId="1" fillId="2" borderId="45" xfId="0" applyFont="1" applyFill="1" applyBorder="1" applyAlignment="1">
      <alignment horizontal="left" vertical="top"/>
    </xf>
    <xf numFmtId="0" fontId="1" fillId="2" borderId="47" xfId="0" applyFont="1" applyFill="1" applyBorder="1" applyAlignment="1">
      <alignment horizontal="left" vertical="top"/>
    </xf>
    <xf numFmtId="0" fontId="1" fillId="2" borderId="48" xfId="0" applyFont="1" applyFill="1" applyBorder="1" applyAlignment="1">
      <alignment horizontal="left" vertical="top"/>
    </xf>
    <xf numFmtId="0" fontId="2" fillId="0" borderId="1"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5" xfId="0" applyFont="1" applyBorder="1" applyAlignment="1">
      <alignment horizontal="center" vertical="center" wrapText="1"/>
    </xf>
    <xf numFmtId="0" fontId="2" fillId="0" borderId="8" xfId="0" applyFont="1" applyBorder="1" applyAlignment="1">
      <alignment horizontal="center" vertical="center" wrapText="1"/>
    </xf>
    <xf numFmtId="0" fontId="1" fillId="0" borderId="0" xfId="0" applyFont="1" applyAlignment="1">
      <alignment horizontal="left" vertical="top"/>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15"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5" xfId="0" applyFont="1" applyBorder="1" applyAlignment="1">
      <alignment horizontal="center" vertical="center"/>
    </xf>
    <xf numFmtId="0" fontId="1" fillId="0" borderId="16"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2" fillId="0" borderId="39" xfId="0" applyFont="1" applyBorder="1" applyAlignment="1">
      <alignment horizontal="center" vertical="center"/>
    </xf>
    <xf numFmtId="0" fontId="2" fillId="0" borderId="38" xfId="0" applyFont="1" applyBorder="1" applyAlignment="1">
      <alignment horizontal="center" vertical="center"/>
    </xf>
    <xf numFmtId="0" fontId="2" fillId="0" borderId="36" xfId="0" applyFont="1" applyBorder="1" applyAlignment="1">
      <alignment horizontal="center" vertical="center"/>
    </xf>
    <xf numFmtId="0" fontId="2" fillId="0" borderId="35" xfId="0" applyFont="1" applyBorder="1" applyAlignment="1">
      <alignment horizontal="center" vertical="center"/>
    </xf>
    <xf numFmtId="0" fontId="2" fillId="0" borderId="40"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34" xfId="0" applyFont="1" applyBorder="1" applyAlignment="1">
      <alignment horizontal="center" vertical="center"/>
    </xf>
    <xf numFmtId="0" fontId="1" fillId="2" borderId="19" xfId="0" applyFont="1" applyFill="1" applyBorder="1" applyAlignment="1">
      <alignment horizontal="left" vertical="top"/>
    </xf>
    <xf numFmtId="0" fontId="1" fillId="2" borderId="37" xfId="0" applyFont="1" applyFill="1" applyBorder="1" applyAlignment="1">
      <alignment horizontal="left" vertical="top"/>
    </xf>
    <xf numFmtId="0" fontId="7" fillId="2" borderId="41" xfId="0" applyFont="1" applyFill="1" applyBorder="1" applyAlignment="1">
      <alignment horizontal="left" vertical="top"/>
    </xf>
    <xf numFmtId="0" fontId="7" fillId="2" borderId="26" xfId="0" applyFont="1" applyFill="1" applyBorder="1" applyAlignment="1">
      <alignment horizontal="left" vertical="top"/>
    </xf>
    <xf numFmtId="0" fontId="7" fillId="2" borderId="44" xfId="0" applyFont="1" applyFill="1" applyBorder="1" applyAlignment="1">
      <alignment horizontal="left" vertical="top"/>
    </xf>
    <xf numFmtId="0" fontId="7" fillId="2" borderId="46" xfId="0" applyFont="1" applyFill="1" applyBorder="1" applyAlignment="1">
      <alignment horizontal="left" vertical="top"/>
    </xf>
    <xf numFmtId="0" fontId="1" fillId="2" borderId="10" xfId="0" applyFont="1" applyFill="1" applyBorder="1" applyAlignment="1">
      <alignment horizontal="left" vertical="top"/>
    </xf>
    <xf numFmtId="0" fontId="1" fillId="2" borderId="47" xfId="0" applyFont="1" applyFill="1" applyBorder="1" applyAlignment="1">
      <alignment horizontal="left" vertical="top"/>
    </xf>
    <xf numFmtId="0" fontId="7" fillId="2" borderId="28" xfId="0" applyFont="1" applyFill="1" applyBorder="1" applyAlignment="1">
      <alignment horizontal="left" vertical="top"/>
    </xf>
  </cellXfs>
  <cellStyles count="1">
    <cellStyle name="Normale" xfId="0" builtinId="0"/>
  </cellStyles>
  <dxfs count="132">
    <dxf>
      <font>
        <strike val="0"/>
        <outline val="0"/>
        <shadow val="0"/>
        <u val="none"/>
        <vertAlign val="baseline"/>
        <sz val="12"/>
        <color theme="1"/>
        <name val="Baskerville Old Face"/>
        <family val="1"/>
        <scheme val="none"/>
      </font>
      <alignment horizontal="left" vertical="top" textRotation="0" wrapText="0" indent="0" justifyLastLine="0" shrinkToFit="0" readingOrder="0"/>
    </dxf>
    <dxf>
      <font>
        <strike val="0"/>
        <outline val="0"/>
        <shadow val="0"/>
        <u val="none"/>
        <vertAlign val="baseline"/>
        <sz val="12"/>
        <color theme="1"/>
        <name val="Baskerville Old Face"/>
        <family val="1"/>
        <scheme val="none"/>
      </font>
      <alignment horizontal="left" vertical="top" textRotation="0" wrapText="0" indent="0" justifyLastLine="0" shrinkToFit="0" readingOrder="0"/>
    </dxf>
    <dxf>
      <font>
        <strike val="0"/>
        <outline val="0"/>
        <shadow val="0"/>
        <u val="none"/>
        <vertAlign val="baseline"/>
        <sz val="12"/>
        <color theme="1"/>
        <name val="Baskerville Old Face"/>
        <family val="1"/>
        <scheme val="none"/>
      </font>
      <alignment horizontal="left" vertical="top" textRotation="0" wrapText="0" indent="0" justifyLastLine="0" shrinkToFit="0" readingOrder="0"/>
    </dxf>
    <dxf>
      <font>
        <strike val="0"/>
        <outline val="0"/>
        <shadow val="0"/>
        <u val="none"/>
        <vertAlign val="baseline"/>
        <sz val="12"/>
        <color theme="1"/>
        <name val="Baskerville Old Face"/>
        <family val="1"/>
        <scheme val="none"/>
      </font>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alignment horizontal="left" vertical="top" textRotation="0" wrapText="0" indent="0" justifyLastLine="0" shrinkToFit="0" readingOrder="0"/>
    </dxf>
    <dxf>
      <font>
        <strike val="0"/>
        <outline val="0"/>
        <shadow val="0"/>
        <u val="none"/>
        <vertAlign val="baseline"/>
        <sz val="12"/>
        <color theme="1"/>
        <name val="Baskerville Old Face"/>
        <family val="1"/>
        <scheme val="none"/>
      </font>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alignment horizontal="left" vertical="top" textRotation="0" wrapText="0" indent="0" justifyLastLine="0" shrinkToFit="0" readingOrder="0"/>
    </dxf>
    <dxf>
      <font>
        <strike val="0"/>
        <outline val="0"/>
        <shadow val="0"/>
        <u val="none"/>
        <vertAlign val="baseline"/>
        <sz val="12"/>
        <color theme="1"/>
        <name val="Baskerville Old Face"/>
        <family val="1"/>
        <scheme val="none"/>
      </font>
      <alignment horizontal="left" vertical="top" textRotation="0" wrapText="0" indent="0" justifyLastLine="0" shrinkToFit="0" readingOrder="0"/>
    </dxf>
    <dxf>
      <font>
        <strike val="0"/>
        <outline val="0"/>
        <shadow val="0"/>
        <u val="none"/>
        <vertAlign val="baseline"/>
        <sz val="12"/>
        <color theme="1"/>
        <name val="Baskerville Old Face"/>
        <family val="1"/>
        <scheme val="none"/>
      </font>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alignment horizontal="left" vertical="top" textRotation="0" wrapText="0" indent="0" justifyLastLine="0" shrinkToFit="0" readingOrder="0"/>
    </dxf>
    <dxf>
      <font>
        <strike val="0"/>
        <outline val="0"/>
        <shadow val="0"/>
        <u val="none"/>
        <vertAlign val="baseline"/>
        <sz val="12"/>
        <color theme="1"/>
        <name val="Baskerville Old Face"/>
        <family val="1"/>
        <scheme val="none"/>
      </font>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numFmt numFmtId="0" formatCode="General"/>
      <alignment horizontal="left" vertical="top" textRotation="0" wrapText="0" indent="0" justifyLastLine="0" shrinkToFit="0" readingOrder="0"/>
    </dxf>
    <dxf>
      <font>
        <strike val="0"/>
        <outline val="0"/>
        <shadow val="0"/>
        <u val="none"/>
        <vertAlign val="baseline"/>
        <sz val="12"/>
        <color theme="1"/>
        <name val="Baskerville Old Face"/>
        <family val="1"/>
        <scheme val="none"/>
      </font>
      <alignment horizontal="left" vertical="top" textRotation="0" wrapText="0" indent="0" justifyLastLine="0" shrinkToFit="0" readingOrder="0"/>
    </dxf>
    <dxf>
      <font>
        <strike val="0"/>
        <outline val="0"/>
        <shadow val="0"/>
        <u val="none"/>
        <vertAlign val="baseline"/>
        <sz val="12"/>
        <color theme="1"/>
        <name val="Baskerville Old Face"/>
        <family val="1"/>
        <scheme val="none"/>
      </font>
      <alignment horizontal="left" vertical="top" textRotation="0" wrapText="0" indent="0" justifyLastLine="0" shrinkToFit="0" readingOrder="0"/>
    </dxf>
    <dxf>
      <font>
        <strike val="0"/>
        <outline val="0"/>
        <shadow val="0"/>
        <u val="none"/>
        <vertAlign val="baseline"/>
        <sz val="12"/>
        <color theme="1"/>
        <name val="Baskerville Old Face"/>
        <family val="1"/>
        <scheme val="none"/>
      </font>
      <alignment horizontal="left" vertical="top" textRotation="0" wrapText="0" indent="0" justifyLastLine="0" shrinkToFit="0" readingOrder="0"/>
    </dxf>
    <dxf>
      <font>
        <strike val="0"/>
        <outline val="0"/>
        <shadow val="0"/>
        <u val="none"/>
        <vertAlign val="baseline"/>
        <sz val="12"/>
        <color theme="1"/>
        <name val="Baskerville Old Face"/>
        <family val="1"/>
        <scheme val="none"/>
      </font>
      <alignment horizontal="left" vertical="top" textRotation="0" wrapText="0" indent="0" justifyLastLine="0" shrinkToFit="0" readingOrder="0"/>
    </dxf>
    <dxf>
      <font>
        <strike val="0"/>
        <outline val="0"/>
        <shadow val="0"/>
        <u val="none"/>
        <vertAlign val="baseline"/>
        <sz val="12"/>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outline val="0"/>
        <shadow val="0"/>
        <u val="none"/>
        <vertAlign val="baseline"/>
        <sz val="12"/>
        <color theme="1"/>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medium">
          <color indexed="64"/>
        </right>
        <top style="thin">
          <color indexed="64"/>
        </top>
        <bottom style="thin">
          <color indexed="64"/>
        </bottom>
      </border>
    </dxf>
    <dxf>
      <font>
        <strike val="0"/>
        <outline val="0"/>
        <shadow val="0"/>
        <u val="none"/>
        <vertAlign val="baseline"/>
        <sz val="12"/>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outline val="0"/>
        <shadow val="0"/>
        <u val="none"/>
        <vertAlign val="baseline"/>
        <sz val="12"/>
        <color theme="1"/>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outline val="0"/>
        <shadow val="0"/>
        <u val="none"/>
        <vertAlign val="baseline"/>
        <sz val="12"/>
        <color theme="1"/>
        <name val="Baskerville Old Face"/>
        <family val="1"/>
        <scheme val="none"/>
      </font>
      <numFmt numFmtId="0" formatCode="General"/>
      <alignment horizontal="center" vertical="center"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right style="medium">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medium">
          <color indexed="64"/>
        </left>
        <right style="medium">
          <color indexed="64"/>
        </right>
        <top/>
        <bottom style="medium">
          <color indexed="64"/>
        </bottom>
      </border>
    </dxf>
    <dxf>
      <font>
        <b val="0"/>
        <i val="0"/>
        <strike val="0"/>
        <condense val="0"/>
        <extend val="0"/>
        <outline val="0"/>
        <shadow val="0"/>
        <u val="none"/>
        <vertAlign val="baseline"/>
        <sz val="12"/>
        <color rgb="FFFF0000"/>
        <name val="Baskerville Old Face"/>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medium">
          <color indexed="64"/>
        </left>
        <right style="medium">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medium">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outline val="0"/>
        <shadow val="0"/>
        <u val="none"/>
        <vertAlign val="baseline"/>
        <sz val="12"/>
        <color rgb="FFFF0000"/>
        <name val="Baskerville Old Face"/>
        <family val="1"/>
        <scheme val="none"/>
      </font>
      <numFmt numFmtId="164" formatCode="#,##0.00\ &quot;€&quo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medium">
          <color indexed="64"/>
        </left>
        <right style="thin">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medium">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medium">
          <color indexed="64"/>
        </left>
        <right style="thin">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medium">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medium">
          <color indexed="64"/>
        </left>
        <right style="thin">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medium">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medium">
          <color indexed="64"/>
        </left>
        <right style="thin">
          <color indexed="64"/>
        </right>
        <top/>
        <bottom style="medium">
          <color indexed="64"/>
        </bottom>
      </border>
    </dxf>
    <dxf>
      <font>
        <b val="0"/>
        <i val="0"/>
        <strike val="0"/>
        <condense val="0"/>
        <extend val="0"/>
        <outline val="0"/>
        <shadow val="0"/>
        <u val="none"/>
        <vertAlign val="baseline"/>
        <sz val="12"/>
        <color rgb="FFFF0000"/>
        <name val="Baskerville Old Face"/>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medium">
          <color indexed="64"/>
        </left>
        <right style="thin">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medium">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medium">
          <color indexed="64"/>
        </left>
        <right style="thin">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medium">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medium">
          <color indexed="64"/>
        </left>
        <right style="thin">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medium">
          <color indexed="64"/>
        </right>
        <top/>
        <bottom style="medium">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style="medium">
          <color indexed="64"/>
        </left>
        <right style="thin">
          <color indexed="64"/>
        </right>
        <top/>
        <bottom style="medium">
          <color indexed="64"/>
        </bottom>
      </border>
    </dxf>
    <dxf>
      <font>
        <b val="0"/>
        <i val="0"/>
        <strike val="0"/>
        <outline val="0"/>
        <shadow val="0"/>
        <u val="none"/>
        <vertAlign val="baseline"/>
        <sz val="12"/>
        <color rgb="FFFF0000"/>
        <name val="Baskerville Old Face"/>
        <family val="1"/>
        <scheme val="none"/>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font>
        <strike val="0"/>
        <outline val="0"/>
        <shadow val="0"/>
        <u val="none"/>
        <vertAlign val="baseline"/>
        <sz val="12"/>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2"/>
        <color theme="1"/>
        <name val="Baskerville Old Face"/>
        <family val="1"/>
        <scheme val="none"/>
      </font>
      <numFmt numFmtId="0" formatCode="General"/>
      <alignment horizontal="center" vertical="center" textRotation="0" wrapText="0" indent="0" justifyLastLine="0" shrinkToFit="0" readingOrder="0"/>
    </dxf>
    <dxf>
      <border>
        <bottom style="medium">
          <color indexed="64"/>
        </bottom>
      </border>
    </dxf>
    <dxf>
      <font>
        <b/>
        <i val="0"/>
        <strike val="0"/>
        <condense val="0"/>
        <extend val="0"/>
        <outline val="0"/>
        <shadow val="0"/>
        <u val="none"/>
        <vertAlign val="baseline"/>
        <sz val="14"/>
        <color theme="1"/>
        <name val="Baskerville Old Face"/>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2" xr16:uid="{74CD8A8E-067B-472C-9373-500F039BCA80}" autoFormatId="16" applyNumberFormats="0" applyBorderFormats="0" applyFontFormats="0" applyPatternFormats="0" applyAlignmentFormats="0" applyWidthHeightFormats="0">
  <queryTableRefresh nextId="43">
    <queryTableFields count="42">
      <queryTableField id="1" name="Copy ID" tableColumnId="1"/>
      <queryTableField id="2" name="Owned Copy Title" tableColumnId="2"/>
      <queryTableField id="3" name="Original First Edition Title" tableColumnId="3"/>
      <queryTableField id="4" name="Book Genre" tableColumnId="4"/>
      <queryTableField id="5" name="Book Subgenre" tableColumnId="5"/>
      <queryTableField id="6" name="Keywords" tableColumnId="6"/>
      <queryTableField id="7" name="Original First Edition Year" tableColumnId="7"/>
      <queryTableField id="8" name="Original Language" tableColumnId="8"/>
      <queryTableField id="9" name="Author" tableColumnId="9"/>
      <queryTableField id="10" name="Birth Date" tableColumnId="10"/>
      <queryTableField id="11" name="Death Date" tableColumnId="11"/>
      <queryTableField id="12" name="Author Nationality" tableColumnId="12"/>
      <queryTableField id="13" name="Author Gender" tableColumnId="13"/>
      <queryTableField id="14" name="Nobel Prize" tableColumnId="14"/>
      <queryTableField id="15" name="Pulitzer Prize" tableColumnId="15"/>
      <queryTableField id="16" name="Editor / Curator" tableColumnId="16"/>
      <queryTableField id="17" name="Additional Contributions" tableColumnId="17"/>
      <queryTableField id="18" name="Translator" tableColumnId="18"/>
      <queryTableField id="19" name="Illustrator" tableColumnId="19"/>
      <queryTableField id="20" name="Owned Edition First Publication Year" tableColumnId="20"/>
      <queryTableField id="21" name="Edition Year" tableColumnId="21"/>
      <queryTableField id="22" name="Edition Number" tableColumnId="22"/>
      <queryTableField id="23" name="Copy Language" tableColumnId="23"/>
      <queryTableField id="24" name="Publisher" tableColumnId="24"/>
      <queryTableField id="25" name="Publication City" tableColumnId="25"/>
      <queryTableField id="26" name="Series / Collection" tableColumnId="26"/>
      <queryTableField id="27" name="Series Number" tableColumnId="27"/>
      <queryTableField id="28" name="ISBN" tableColumnId="28"/>
      <queryTableField id="29" name="Pages" tableColumnId="29"/>
      <queryTableField id="30" name="Volume" tableColumnId="30"/>
      <queryTableField id="31" name="Binding" tableColumnId="31"/>
      <queryTableField id="32" name="Physical Condition" tableColumnId="32"/>
      <queryTableField id="33" name="Cover Price" tableColumnId="33"/>
      <queryTableField id="34" name="Price in EUR" tableColumnId="34"/>
      <queryTableField id="35" name="EUR Conversion Note" tableColumnId="35"/>
      <queryTableField id="36" name="Signature / Dedication" tableColumnId="36"/>
      <queryTableField id="37" name="Location" tableColumnId="37"/>
      <queryTableField id="38" name="Reading Status" tableColumnId="38"/>
      <queryTableField id="39" name="Notes" tableColumnId="39"/>
      <queryTableField id="40" name="Borrowed By" tableColumnId="40"/>
      <queryTableField id="41" name="Loan Date" tableColumnId="41"/>
      <queryTableField id="42" name="Loan History" tableColumnId="4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A69BF4-61D0-4C0A-9EF3-576D2E795F7B}" name="Tabella1__2" displayName="Tabella1__2" ref="A1:AP771" tableType="queryTable" totalsRowShown="0" headerRowDxfId="43" dataDxfId="42">
  <autoFilter ref="A1:AP771" xr:uid="{E1A69BF4-61D0-4C0A-9EF3-576D2E795F7B}"/>
  <tableColumns count="42">
    <tableColumn id="1" xr3:uid="{928F9626-FA0C-4EBB-8016-9DFB333111C9}" uniqueName="1" name="Copy ID" queryTableFieldId="1" dataDxfId="41"/>
    <tableColumn id="2" xr3:uid="{04D267D0-4D0D-431B-BEA7-2A537B232673}" uniqueName="2" name="Owned Copy Title" queryTableFieldId="2" dataDxfId="40"/>
    <tableColumn id="3" xr3:uid="{B2C4B051-F354-49C0-AFC7-281F1F3E5C7A}" uniqueName="3" name="Original First Edition Title" queryTableFieldId="3" dataDxfId="39"/>
    <tableColumn id="4" xr3:uid="{AB81BF8B-CA7F-4E61-84A0-BC6203C59A1D}" uniqueName="4" name="Book Genre" queryTableFieldId="4" dataDxfId="38"/>
    <tableColumn id="5" xr3:uid="{5778D85A-67B2-42E2-885B-BE2564A488FA}" uniqueName="5" name="Book Subgenre" queryTableFieldId="5" dataDxfId="37"/>
    <tableColumn id="6" xr3:uid="{B9F1C5F6-A627-465F-9B98-BC3B6BAE5DAE}" uniqueName="6" name="Keywords" queryTableFieldId="6" dataDxfId="36"/>
    <tableColumn id="7" xr3:uid="{608943E3-54E0-44D9-AFA8-A6392F732CEC}" uniqueName="7" name="Original First Edition Year" queryTableFieldId="7" dataDxfId="35"/>
    <tableColumn id="8" xr3:uid="{BC1EC58A-0F50-4934-A6EC-EE686545177F}" uniqueName="8" name="Original Language" queryTableFieldId="8" dataDxfId="34"/>
    <tableColumn id="9" xr3:uid="{41AA7458-F96C-4A67-9B19-E0FE8B432EDF}" uniqueName="9" name="Author" queryTableFieldId="9" dataDxfId="33"/>
    <tableColumn id="10" xr3:uid="{5F6053F6-67FC-4861-8C3B-A10CD37BFDF3}" uniqueName="10" name="Birth Date" queryTableFieldId="10" dataDxfId="32"/>
    <tableColumn id="11" xr3:uid="{E8DCDDD8-E75A-4B12-B66F-4C88BD5B966D}" uniqueName="11" name="Death Date" queryTableFieldId="11" dataDxfId="31"/>
    <tableColumn id="12" xr3:uid="{28AF4A0B-65DF-48D9-AB67-1FB8BAB2C1A9}" uniqueName="12" name="Author Nationality" queryTableFieldId="12" dataDxfId="30"/>
    <tableColumn id="13" xr3:uid="{219C7936-6058-4192-B6EE-421C2EA42F87}" uniqueName="13" name="Author Gender" queryTableFieldId="13" dataDxfId="29"/>
    <tableColumn id="14" xr3:uid="{474B559D-ED27-443E-BC1E-44F3E240C23C}" uniqueName="14" name="Nobel Prize" queryTableFieldId="14" dataDxfId="28"/>
    <tableColumn id="15" xr3:uid="{D1FC554A-B559-4DC4-ACE3-263074B85DDE}" uniqueName="15" name="Pulitzer Prize" queryTableFieldId="15" dataDxfId="27"/>
    <tableColumn id="16" xr3:uid="{06DD42C4-EBFA-4347-AA56-37D23AB86C41}" uniqueName="16" name="Editor / Curator" queryTableFieldId="16" dataDxfId="26"/>
    <tableColumn id="17" xr3:uid="{A95CBCAC-B98F-4E02-8599-4F6383C1DE82}" uniqueName="17" name="Additional Contributions" queryTableFieldId="17" dataDxfId="25"/>
    <tableColumn id="18" xr3:uid="{2F48CD2F-4A45-400A-801E-47756F9DC55B}" uniqueName="18" name="Translator" queryTableFieldId="18" dataDxfId="24"/>
    <tableColumn id="19" xr3:uid="{9508B851-3F34-4755-9BC6-570F244A90BA}" uniqueName="19" name="Illustrator" queryTableFieldId="19" dataDxfId="23"/>
    <tableColumn id="20" xr3:uid="{0024D524-26FD-4D57-A91D-AC8C400FE542}" uniqueName="20" name="Owned Edition First Publication Year" queryTableFieldId="20" dataDxfId="22"/>
    <tableColumn id="21" xr3:uid="{9486F388-4140-44A9-94BA-7C8E8583471C}" uniqueName="21" name="Edition Year" queryTableFieldId="21" dataDxfId="21"/>
    <tableColumn id="22" xr3:uid="{B284D730-B39E-471E-8680-37DAAD0377BF}" uniqueName="22" name="Edition Number" queryTableFieldId="22" dataDxfId="20"/>
    <tableColumn id="23" xr3:uid="{B64D1DC4-F96E-4FA8-9ACE-34722AE0683F}" uniqueName="23" name="Copy Language" queryTableFieldId="23" dataDxfId="19"/>
    <tableColumn id="24" xr3:uid="{42350DB0-72E3-43FE-9BE1-630716966D80}" uniqueName="24" name="Publisher" queryTableFieldId="24" dataDxfId="18"/>
    <tableColumn id="25" xr3:uid="{81010147-0E85-4077-87EE-EC75E7C1C501}" uniqueName="25" name="Publication City" queryTableFieldId="25" dataDxfId="17"/>
    <tableColumn id="26" xr3:uid="{59C0DFA5-2A15-4C14-AC28-FB856D039807}" uniqueName="26" name="Series / Collection" queryTableFieldId="26" dataDxfId="16"/>
    <tableColumn id="27" xr3:uid="{9DD44EA0-844B-45A6-84C0-CFFC782B9B52}" uniqueName="27" name="Series Number" queryTableFieldId="27" dataDxfId="15"/>
    <tableColumn id="28" xr3:uid="{014EF8A5-1947-40CA-8B41-6729388FA2AA}" uniqueName="28" name="ISBN" queryTableFieldId="28" dataDxfId="14"/>
    <tableColumn id="29" xr3:uid="{B11DD505-3890-46D9-9DF8-C709F40FFD63}" uniqueName="29" name="Pages" queryTableFieldId="29" dataDxfId="13"/>
    <tableColumn id="30" xr3:uid="{61E5F6C6-CF55-4C19-8CD4-B089B5CD26B1}" uniqueName="30" name="Volume" queryTableFieldId="30" dataDxfId="12"/>
    <tableColumn id="31" xr3:uid="{995C6A5E-32E1-4917-9BD7-68C492861B23}" uniqueName="31" name="Binding" queryTableFieldId="31" dataDxfId="11"/>
    <tableColumn id="32" xr3:uid="{D6CBCA38-0C13-4B30-8362-ABF6E98409F7}" uniqueName="32" name="Physical Condition" queryTableFieldId="32" dataDxfId="10"/>
    <tableColumn id="33" xr3:uid="{46E04B2F-A408-42EB-A056-2105F33FF634}" uniqueName="33" name="Cover Price" queryTableFieldId="33" dataDxfId="9"/>
    <tableColumn id="34" xr3:uid="{929360D2-FD34-432C-A0DE-82923DC84F9D}" uniqueName="34" name="Price in EUR" queryTableFieldId="34" dataDxfId="8"/>
    <tableColumn id="35" xr3:uid="{ECFB2A9F-DD15-4D9D-AB0A-28F305C6F798}" uniqueName="35" name="EUR Conversion Note" queryTableFieldId="35" dataDxfId="7"/>
    <tableColumn id="36" xr3:uid="{A959BA5F-C757-4BA7-812C-67207B0E6126}" uniqueName="36" name="Signature / Dedication" queryTableFieldId="36" dataDxfId="6"/>
    <tableColumn id="37" xr3:uid="{9C4D0573-67EA-4838-8CA5-525888546ADB}" uniqueName="37" name="Location" queryTableFieldId="37" dataDxfId="5"/>
    <tableColumn id="38" xr3:uid="{1558D998-AB08-4814-BF9B-8D835569A8E9}" uniqueName="38" name="Reading Status" queryTableFieldId="38" dataDxfId="4"/>
    <tableColumn id="39" xr3:uid="{B68ECBD4-1ED9-415C-A328-76EDEC883A22}" uniqueName="39" name="Notes" queryTableFieldId="39" dataDxfId="3"/>
    <tableColumn id="40" xr3:uid="{7CC495D5-6262-4715-877C-97492B34F00C}" uniqueName="40" name="Borrowed By" queryTableFieldId="40" dataDxfId="2"/>
    <tableColumn id="41" xr3:uid="{22C5BA93-1178-459D-9AB4-EBD79D85D106}" uniqueName="41" name="Loan Date" queryTableFieldId="41" dataDxfId="1"/>
    <tableColumn id="42" xr3:uid="{A600C73D-A1A1-4E8A-83B2-2183BA6EC320}" uniqueName="42" name="Loan History" queryTableFieldId="42"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F972DD-C27C-4BD8-805D-D00554CC26FF}" name="Tabella1" displayName="Tabella1" ref="A6:AP776" totalsRowShown="0" headerRowDxfId="131" dataDxfId="129" totalsRowDxfId="127" headerRowBorderDxfId="130" tableBorderDxfId="128" totalsRowBorderDxfId="126">
  <autoFilter ref="A6:AP776" xr:uid="{1DF972DD-C27C-4BD8-805D-D00554CC26FF}"/>
  <sortState xmlns:xlrd2="http://schemas.microsoft.com/office/spreadsheetml/2017/richdata2" ref="A7:AP776">
    <sortCondition ref="I6:I776"/>
  </sortState>
  <tableColumns count="42">
    <tableColumn id="1" xr3:uid="{4C90E582-3639-4671-9E48-2AF56798B899}" name="Copy ID" dataDxfId="125" totalsRowDxfId="124"/>
    <tableColumn id="25" xr3:uid="{22012A5E-2FA5-479F-BB6C-5F2D1988DA38}" name="Owned Copy Title" dataDxfId="123" totalsRowDxfId="122"/>
    <tableColumn id="14" xr3:uid="{06F2E75C-5661-4F21-8C58-4A7A86CB1AEB}" name="Original First Edition Title" dataDxfId="121" totalsRowDxfId="120"/>
    <tableColumn id="2" xr3:uid="{9032FEC8-3A54-469F-81C5-5F42114034DE}" name="Book Genre" dataDxfId="119" totalsRowDxfId="118"/>
    <tableColumn id="18" xr3:uid="{F7298055-FD77-494C-88B7-044C15614EA9}" name="Book Subgenre" dataDxfId="117" totalsRowDxfId="116"/>
    <tableColumn id="17" xr3:uid="{1802B8AF-9BBE-46CD-A282-04C78FA27E36}" name="Keywords" dataDxfId="115" totalsRowDxfId="114"/>
    <tableColumn id="9" xr3:uid="{8D49082D-B1A1-4A60-ACCC-80D8C96B7A85}" name="Original First Edition Year" dataDxfId="113" totalsRowDxfId="112"/>
    <tableColumn id="10" xr3:uid="{08F54C42-30DF-470A-892E-76AFD8221486}" name="Original Language" dataDxfId="111" totalsRowDxfId="110"/>
    <tableColumn id="7" xr3:uid="{B4AEB70C-2D0B-4C32-8376-45B0F8A03FC9}" name="Author" dataDxfId="109" totalsRowDxfId="108"/>
    <tableColumn id="19" xr3:uid="{34BF66AB-6016-485D-B690-C8BE685BBF86}" name="Birth Date" dataDxfId="107"/>
    <tableColumn id="26" xr3:uid="{3ABF6289-7189-42D6-8BEE-7EF69AFF07F6}" name="Death Date" dataDxfId="106"/>
    <tableColumn id="24" xr3:uid="{F9EF75E1-39D1-455E-AE36-C81F74B693CE}" name="Author Nationality" dataDxfId="105" totalsRowDxfId="104"/>
    <tableColumn id="3" xr3:uid="{CF682B19-C618-4B63-8B25-F748879F22FF}" name="Author Gender" dataDxfId="103" totalsRowDxfId="102"/>
    <tableColumn id="20" xr3:uid="{DE0D0FE7-B97C-413C-924F-396D57247EEB}" name="Nobel Prize" dataDxfId="101" totalsRowDxfId="100"/>
    <tableColumn id="16" xr3:uid="{8E14D550-52B8-4334-B70F-71EB894F2AE1}" name="Pulitzer Prize" dataDxfId="99" totalsRowDxfId="98"/>
    <tableColumn id="12" xr3:uid="{405989ED-4614-4810-AB60-2605F9BEEF47}" name="Editor / Curator" dataDxfId="97" totalsRowDxfId="96"/>
    <tableColumn id="38" xr3:uid="{9D47ECC4-E9EE-4DAE-AD15-455014156D53}" name="Additional Contributions" dataDxfId="95" totalsRowDxfId="94"/>
    <tableColumn id="4" xr3:uid="{92957B88-B7D8-4655-BE1E-906C55D44CC6}" name="Translator" dataDxfId="93" totalsRowDxfId="92"/>
    <tableColumn id="5" xr3:uid="{BFB99D69-A15F-418E-AFFD-2D8D06E6495F}" name="Illustrator" dataDxfId="91" totalsRowDxfId="90"/>
    <tableColumn id="8" xr3:uid="{6C2FAD77-F5FC-401D-B48D-C0CE75C38A15}" name="Owned Edition First Publication Year" dataDxfId="89" totalsRowDxfId="88"/>
    <tableColumn id="6" xr3:uid="{CB730C23-0EE4-4C98-B882-BFD63DA01234}" name="Edition Year" dataDxfId="87" totalsRowDxfId="86"/>
    <tableColumn id="11" xr3:uid="{3DD78A0F-9FC6-4388-89B3-0ED04F0D7401}" name="Edition Number" dataDxfId="85" totalsRowDxfId="84"/>
    <tableColumn id="22" xr3:uid="{FAB49C64-2021-4988-906D-7746CFE8EDD2}" name="Copy Language" dataDxfId="83" totalsRowDxfId="82"/>
    <tableColumn id="15" xr3:uid="{47F83DBF-580E-4162-80FA-E9912A790717}" name="Publisher" dataDxfId="81" totalsRowDxfId="80"/>
    <tableColumn id="21" xr3:uid="{A437AEF4-6D43-485D-A914-9C6CB0C72EDB}" name="Publication City" dataDxfId="79" totalsRowDxfId="78"/>
    <tableColumn id="23" xr3:uid="{12861FBD-E2CC-4856-AF68-6683F955E40F}" name="Series / Collection" dataDxfId="77" totalsRowDxfId="76"/>
    <tableColumn id="13" xr3:uid="{F9527CA3-ADE9-40AF-9248-B0EB05C87A7F}" name="Series Number" dataDxfId="75" totalsRowDxfId="74"/>
    <tableColumn id="27" xr3:uid="{C3CDD722-0A5F-4679-8D37-BB92523C8192}" name="ISBN" dataDxfId="73" totalsRowDxfId="72"/>
    <tableColumn id="28" xr3:uid="{6B11DE55-4954-452D-87C5-B7DFA698B901}" name="Pages" dataDxfId="71" totalsRowDxfId="70"/>
    <tableColumn id="29" xr3:uid="{FC0E10FD-F3F9-4110-9DA7-5F129D7ED80C}" name="Volume" dataDxfId="69" totalsRowDxfId="68"/>
    <tableColumn id="30" xr3:uid="{2884F13A-AB70-4611-BA1F-46E6712D0109}" name="Binding" dataDxfId="67" totalsRowDxfId="66"/>
    <tableColumn id="31" xr3:uid="{2EB2153E-87C7-4AB9-9893-B25B937816DE}" name="Physical Condition" dataDxfId="65" totalsRowDxfId="64"/>
    <tableColumn id="32" xr3:uid="{C7607932-C1DB-4545-93C3-A5EB97F4A123}" name="Cover Price" dataDxfId="63" totalsRowDxfId="62"/>
    <tableColumn id="33" xr3:uid="{A8637702-66D8-4794-B250-5BB2C3F15647}" name="Price in EUR" dataDxfId="61" totalsRowDxfId="60"/>
    <tableColumn id="34" xr3:uid="{4D3EBA47-12E0-4041-BFBD-1A9E5A010976}" name="EUR Conversion Note" dataDxfId="59" totalsRowDxfId="58"/>
    <tableColumn id="35" xr3:uid="{AB681972-054C-483E-9EF7-99958726CBA7}" name="Signature / Dedication" dataDxfId="57" totalsRowDxfId="56"/>
    <tableColumn id="36" xr3:uid="{8ADA9869-2C14-4787-9473-323EF17F58B9}" name="Location" dataDxfId="55" totalsRowDxfId="54"/>
    <tableColumn id="39" xr3:uid="{CBE206E4-998D-4A57-BA34-95ACE069CA61}" name="Reading Status" dataDxfId="53" totalsRowDxfId="52"/>
    <tableColumn id="37" xr3:uid="{97E1F6C9-693D-4AC0-B9B4-E8176A5B61B8}" name="Notes" dataDxfId="51" totalsRowDxfId="50"/>
    <tableColumn id="41" xr3:uid="{4185C927-CCD6-463B-AE37-72DFA32439CF}" name="Borrowed By" dataDxfId="49" totalsRowDxfId="48"/>
    <tableColumn id="42" xr3:uid="{29065A5D-42E3-436C-BDB7-3299A141174E}" name="Loan Date" dataDxfId="47" totalsRowDxfId="46"/>
    <tableColumn id="43" xr3:uid="{8D901A12-1AF4-464F-BBC4-53E14AC548A5}" name="Loan History" dataDxfId="45" totalsRowDxfId="44"/>
  </tableColumns>
  <tableStyleInfo name="TableStyleMedium19"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1B8A5-CC9D-4913-A14B-EBDA0068FDB8}">
  <dimension ref="A1:AP219"/>
  <sheetViews>
    <sheetView tabSelected="1" workbookViewId="0"/>
  </sheetViews>
  <sheetFormatPr defaultRowHeight="15.6" x14ac:dyDescent="0.3"/>
  <cols>
    <col min="1" max="1" width="11.5546875" style="93" bestFit="1" customWidth="1"/>
    <col min="2" max="3" width="80.88671875" style="93" bestFit="1" customWidth="1"/>
    <col min="4" max="4" width="15.33203125" style="93" bestFit="1" customWidth="1"/>
    <col min="5" max="5" width="18.21875" style="93" bestFit="1" customWidth="1"/>
    <col min="6" max="6" width="80.88671875" style="93" bestFit="1" customWidth="1"/>
    <col min="7" max="7" width="77.33203125" style="93" bestFit="1" customWidth="1"/>
    <col min="8" max="8" width="25.88671875" style="93" bestFit="1" customWidth="1"/>
    <col min="9" max="9" width="75.109375" style="93" bestFit="1" customWidth="1"/>
    <col min="10" max="10" width="34.5546875" style="93" bestFit="1" customWidth="1"/>
    <col min="11" max="11" width="26.5546875" style="93" bestFit="1" customWidth="1"/>
    <col min="12" max="12" width="47.109375" style="93" bestFit="1" customWidth="1"/>
    <col min="13" max="13" width="18.21875" style="93" bestFit="1" customWidth="1"/>
    <col min="14" max="14" width="17.21875" style="93" bestFit="1" customWidth="1"/>
    <col min="15" max="15" width="16.77734375" style="93" bestFit="1" customWidth="1"/>
    <col min="16" max="16" width="80.88671875" style="93" bestFit="1" customWidth="1"/>
    <col min="17" max="17" width="57.33203125" style="93" bestFit="1" customWidth="1"/>
    <col min="18" max="18" width="54.6640625" style="93" bestFit="1" customWidth="1"/>
    <col min="19" max="19" width="51.44140625" style="93" bestFit="1" customWidth="1"/>
    <col min="20" max="20" width="40.88671875" style="93" bestFit="1" customWidth="1"/>
    <col min="21" max="21" width="15.77734375" style="93" bestFit="1" customWidth="1"/>
    <col min="22" max="22" width="19.21875" style="93" bestFit="1" customWidth="1"/>
    <col min="23" max="23" width="25.77734375" style="93" bestFit="1" customWidth="1"/>
    <col min="24" max="24" width="26" style="93" bestFit="1" customWidth="1"/>
    <col min="25" max="25" width="33.109375" style="93" bestFit="1" customWidth="1"/>
    <col min="26" max="26" width="21.44140625" style="93" bestFit="1" customWidth="1"/>
    <col min="27" max="27" width="18" style="93" bestFit="1" customWidth="1"/>
    <col min="28" max="28" width="18.44140625" style="93" bestFit="1" customWidth="1"/>
    <col min="29" max="29" width="11.5546875" style="93" bestFit="1" customWidth="1"/>
    <col min="30" max="30" width="22" style="93" bestFit="1" customWidth="1"/>
    <col min="31" max="31" width="17.88671875" style="93" bestFit="1" customWidth="1"/>
    <col min="32" max="32" width="21.77734375" style="93" bestFit="1" customWidth="1"/>
    <col min="33" max="33" width="30.6640625" style="93" bestFit="1" customWidth="1"/>
    <col min="34" max="34" width="16.44140625" style="93" bestFit="1" customWidth="1"/>
    <col min="35" max="35" width="80.88671875" style="93" bestFit="1" customWidth="1"/>
    <col min="36" max="36" width="25.44140625" style="93" bestFit="1" customWidth="1"/>
    <col min="37" max="37" width="11.77734375" style="93" bestFit="1" customWidth="1"/>
    <col min="38" max="38" width="17.6640625" style="93" bestFit="1" customWidth="1"/>
    <col min="39" max="39" width="8.88671875" style="93" bestFit="1" customWidth="1"/>
    <col min="40" max="40" width="16.109375" style="93" bestFit="1" customWidth="1"/>
    <col min="41" max="41" width="13.5546875" style="93" bestFit="1" customWidth="1"/>
    <col min="42" max="42" width="16.21875" style="93" bestFit="1" customWidth="1"/>
  </cols>
  <sheetData>
    <row r="1" spans="1:42" x14ac:dyDescent="0.3">
      <c r="A1" s="93" t="s">
        <v>1449</v>
      </c>
      <c r="B1" s="93" t="s">
        <v>1450</v>
      </c>
      <c r="C1" s="93" t="s">
        <v>1451</v>
      </c>
      <c r="D1" s="93" t="s">
        <v>1452</v>
      </c>
      <c r="E1" s="93" t="s">
        <v>1453</v>
      </c>
      <c r="F1" s="93" t="s">
        <v>1315</v>
      </c>
      <c r="G1" s="93" t="s">
        <v>1454</v>
      </c>
      <c r="H1" s="93" t="s">
        <v>1455</v>
      </c>
      <c r="I1" s="93" t="s">
        <v>1456</v>
      </c>
      <c r="J1" s="93" t="s">
        <v>1457</v>
      </c>
      <c r="K1" s="93" t="s">
        <v>1458</v>
      </c>
      <c r="L1" s="93" t="s">
        <v>1459</v>
      </c>
      <c r="M1" s="93" t="s">
        <v>1460</v>
      </c>
      <c r="N1" s="93" t="s">
        <v>1461</v>
      </c>
      <c r="O1" s="93" t="s">
        <v>1462</v>
      </c>
      <c r="P1" s="93" t="s">
        <v>1463</v>
      </c>
      <c r="Q1" s="93" t="s">
        <v>1464</v>
      </c>
      <c r="R1" s="93" t="s">
        <v>1465</v>
      </c>
      <c r="S1" s="93" t="s">
        <v>1466</v>
      </c>
      <c r="T1" s="93" t="s">
        <v>1467</v>
      </c>
      <c r="U1" s="93" t="s">
        <v>1468</v>
      </c>
      <c r="V1" s="93" t="s">
        <v>1469</v>
      </c>
      <c r="W1" s="93" t="s">
        <v>1470</v>
      </c>
      <c r="X1" s="93" t="s">
        <v>1471</v>
      </c>
      <c r="Y1" s="93" t="s">
        <v>1472</v>
      </c>
      <c r="Z1" s="93" t="s">
        <v>1473</v>
      </c>
      <c r="AA1" s="93" t="s">
        <v>1474</v>
      </c>
      <c r="AB1" s="93" t="s">
        <v>1086</v>
      </c>
      <c r="AC1" s="93" t="s">
        <v>1475</v>
      </c>
      <c r="AD1" s="93" t="s">
        <v>1062</v>
      </c>
      <c r="AE1" s="93" t="s">
        <v>1476</v>
      </c>
      <c r="AF1" s="93" t="s">
        <v>1477</v>
      </c>
      <c r="AG1" s="93" t="s">
        <v>1478</v>
      </c>
      <c r="AH1" s="93" t="s">
        <v>1479</v>
      </c>
      <c r="AI1" s="93" t="s">
        <v>1480</v>
      </c>
      <c r="AJ1" s="93" t="s">
        <v>1481</v>
      </c>
      <c r="AK1" s="93" t="s">
        <v>1482</v>
      </c>
      <c r="AL1" s="93" t="s">
        <v>1483</v>
      </c>
      <c r="AM1" s="93" t="s">
        <v>1484</v>
      </c>
      <c r="AN1" s="93" t="s">
        <v>1485</v>
      </c>
      <c r="AO1" s="93" t="s">
        <v>1486</v>
      </c>
      <c r="AP1" s="93" t="s">
        <v>1487</v>
      </c>
    </row>
    <row r="2" spans="1:42" x14ac:dyDescent="0.3">
      <c r="B2" s="93" t="s">
        <v>1261</v>
      </c>
      <c r="C2" s="93" t="s">
        <v>1262</v>
      </c>
      <c r="D2" s="93" t="s">
        <v>6</v>
      </c>
      <c r="E2" s="93" t="s">
        <v>81</v>
      </c>
      <c r="F2" s="93" t="s">
        <v>1287</v>
      </c>
      <c r="G2" s="93">
        <v>1884</v>
      </c>
      <c r="H2" s="93" t="s">
        <v>7</v>
      </c>
      <c r="I2" s="93" t="s">
        <v>1263</v>
      </c>
      <c r="J2" s="93" t="s">
        <v>1264</v>
      </c>
      <c r="K2" s="93">
        <v>9782</v>
      </c>
      <c r="L2" s="93" t="s">
        <v>13</v>
      </c>
      <c r="M2" s="93" t="s">
        <v>617</v>
      </c>
      <c r="N2" s="93" t="s">
        <v>1268</v>
      </c>
      <c r="O2" s="93" t="s">
        <v>1268</v>
      </c>
      <c r="Q2" s="93" t="s">
        <v>1286</v>
      </c>
      <c r="R2" s="93" t="s">
        <v>1265</v>
      </c>
      <c r="T2" s="93">
        <v>1966</v>
      </c>
      <c r="U2" s="93">
        <v>2025</v>
      </c>
      <c r="V2" s="93">
        <v>32</v>
      </c>
      <c r="W2" s="93" t="s">
        <v>21</v>
      </c>
      <c r="X2" s="93" t="s">
        <v>269</v>
      </c>
      <c r="Y2" s="93" t="s">
        <v>1259</v>
      </c>
      <c r="Z2" s="93" t="s">
        <v>1271</v>
      </c>
      <c r="AA2" s="93">
        <v>50</v>
      </c>
      <c r="AB2" s="93" t="s">
        <v>1270</v>
      </c>
      <c r="AC2" s="93">
        <v>166</v>
      </c>
      <c r="AE2" s="93" t="s">
        <v>1090</v>
      </c>
      <c r="AF2" s="93" t="s">
        <v>1180</v>
      </c>
      <c r="AG2" s="93" t="s">
        <v>669</v>
      </c>
      <c r="AH2" s="93">
        <v>9</v>
      </c>
      <c r="AL2" s="93" t="s">
        <v>1231</v>
      </c>
    </row>
    <row r="3" spans="1:42" x14ac:dyDescent="0.3">
      <c r="B3" s="93" t="s">
        <v>224</v>
      </c>
      <c r="C3" s="93" t="s">
        <v>619</v>
      </c>
      <c r="D3" s="93" t="s">
        <v>6</v>
      </c>
      <c r="E3" s="93" t="s">
        <v>81</v>
      </c>
      <c r="F3" s="93" t="s">
        <v>623</v>
      </c>
      <c r="G3" s="93" t="s">
        <v>618</v>
      </c>
      <c r="H3" s="93" t="s">
        <v>7</v>
      </c>
      <c r="I3" s="93" t="s">
        <v>225</v>
      </c>
      <c r="J3" s="93">
        <v>19064</v>
      </c>
      <c r="K3" s="93">
        <v>37022</v>
      </c>
      <c r="L3" s="93" t="s">
        <v>13</v>
      </c>
      <c r="M3" s="93" t="s">
        <v>617</v>
      </c>
      <c r="N3" s="93" t="s">
        <v>1268</v>
      </c>
      <c r="O3" s="93" t="s">
        <v>1268</v>
      </c>
      <c r="R3" s="93" t="s">
        <v>1258</v>
      </c>
      <c r="T3" s="93">
        <v>2016</v>
      </c>
      <c r="W3" s="93" t="s">
        <v>21</v>
      </c>
      <c r="X3" s="93" t="s">
        <v>8</v>
      </c>
      <c r="Y3" s="93" t="s">
        <v>1259</v>
      </c>
      <c r="Z3" s="93" t="s">
        <v>1260</v>
      </c>
      <c r="AB3" s="93" t="s">
        <v>620</v>
      </c>
      <c r="AC3" s="93">
        <v>844</v>
      </c>
      <c r="AG3" s="93" t="s">
        <v>621</v>
      </c>
      <c r="AH3" s="93">
        <v>16.5</v>
      </c>
      <c r="AL3" s="93" t="s">
        <v>1233</v>
      </c>
    </row>
    <row r="4" spans="1:42" x14ac:dyDescent="0.3">
      <c r="B4" s="93" t="s">
        <v>956</v>
      </c>
      <c r="C4" s="93" t="s">
        <v>626</v>
      </c>
      <c r="D4" s="93" t="s">
        <v>6</v>
      </c>
      <c r="E4" s="93" t="s">
        <v>77</v>
      </c>
      <c r="F4" s="93" t="s">
        <v>628</v>
      </c>
      <c r="G4" s="93" t="s">
        <v>627</v>
      </c>
      <c r="H4" s="93" t="s">
        <v>254</v>
      </c>
      <c r="I4" s="93" t="s">
        <v>253</v>
      </c>
      <c r="J4" s="93" t="s">
        <v>256</v>
      </c>
      <c r="K4" s="93" t="s">
        <v>257</v>
      </c>
      <c r="L4" s="93" t="s">
        <v>255</v>
      </c>
      <c r="M4" s="93" t="s">
        <v>617</v>
      </c>
      <c r="N4" s="93" t="s">
        <v>1268</v>
      </c>
      <c r="O4" s="93" t="s">
        <v>1268</v>
      </c>
      <c r="T4" s="93">
        <v>2000</v>
      </c>
      <c r="W4" s="93" t="s">
        <v>21</v>
      </c>
      <c r="X4" s="93" t="s">
        <v>11</v>
      </c>
      <c r="AB4" s="93" t="s">
        <v>625</v>
      </c>
      <c r="AC4" s="93">
        <v>608</v>
      </c>
      <c r="AG4" s="93" t="s">
        <v>624</v>
      </c>
      <c r="AH4" s="93">
        <v>13</v>
      </c>
    </row>
    <row r="5" spans="1:42" x14ac:dyDescent="0.3">
      <c r="B5" s="93" t="s">
        <v>831</v>
      </c>
      <c r="C5" s="93" t="s">
        <v>836</v>
      </c>
      <c r="D5" s="93" t="s">
        <v>102</v>
      </c>
      <c r="E5" s="93" t="s">
        <v>103</v>
      </c>
      <c r="F5" s="93" t="s">
        <v>837</v>
      </c>
      <c r="G5" s="93" t="s">
        <v>835</v>
      </c>
      <c r="H5" s="93" t="s">
        <v>834</v>
      </c>
      <c r="I5" s="93" t="s">
        <v>1208</v>
      </c>
      <c r="J5" s="93" t="s">
        <v>832</v>
      </c>
      <c r="K5" s="93" t="s">
        <v>833</v>
      </c>
      <c r="L5" s="93" t="s">
        <v>22</v>
      </c>
      <c r="M5" s="93" t="s">
        <v>617</v>
      </c>
      <c r="N5" s="93" t="s">
        <v>1268</v>
      </c>
      <c r="O5" s="93" t="s">
        <v>1268</v>
      </c>
      <c r="T5" s="93">
        <v>2001</v>
      </c>
      <c r="W5" s="93" t="s">
        <v>839</v>
      </c>
      <c r="X5" s="93" t="s">
        <v>322</v>
      </c>
      <c r="AC5" s="93">
        <v>162</v>
      </c>
    </row>
    <row r="6" spans="1:42" x14ac:dyDescent="0.3">
      <c r="B6" s="93" t="s">
        <v>1030</v>
      </c>
      <c r="C6" s="93" t="s">
        <v>1037</v>
      </c>
      <c r="D6" s="93" t="s">
        <v>6</v>
      </c>
      <c r="E6" s="93" t="s">
        <v>77</v>
      </c>
      <c r="F6" s="93" t="s">
        <v>1038</v>
      </c>
      <c r="G6" s="93" t="s">
        <v>1036</v>
      </c>
      <c r="H6" s="93" t="s">
        <v>319</v>
      </c>
      <c r="I6" s="93" t="s">
        <v>1032</v>
      </c>
      <c r="J6" s="93" t="s">
        <v>1034</v>
      </c>
      <c r="K6" s="93" t="s">
        <v>1035</v>
      </c>
      <c r="L6" s="93" t="s">
        <v>1033</v>
      </c>
      <c r="M6" s="93" t="s">
        <v>617</v>
      </c>
      <c r="N6" s="93" t="s">
        <v>1268</v>
      </c>
      <c r="O6" s="93" t="s">
        <v>1268</v>
      </c>
      <c r="T6" s="93">
        <v>2020</v>
      </c>
      <c r="W6" s="93" t="s">
        <v>21</v>
      </c>
      <c r="X6" s="93" t="s">
        <v>159</v>
      </c>
      <c r="AB6" s="93" t="s">
        <v>1031</v>
      </c>
      <c r="AC6" s="93">
        <v>179</v>
      </c>
      <c r="AG6" s="93" t="s">
        <v>802</v>
      </c>
      <c r="AH6" s="93">
        <v>8.5</v>
      </c>
    </row>
    <row r="7" spans="1:42" x14ac:dyDescent="0.3">
      <c r="B7" s="93" t="s">
        <v>849</v>
      </c>
      <c r="C7" s="93" t="s">
        <v>1291</v>
      </c>
      <c r="D7" s="93" t="s">
        <v>82</v>
      </c>
      <c r="E7" s="93" t="s">
        <v>85</v>
      </c>
      <c r="F7" s="93" t="s">
        <v>855</v>
      </c>
      <c r="G7" s="93" t="s">
        <v>852</v>
      </c>
      <c r="H7" s="93" t="s">
        <v>21</v>
      </c>
      <c r="I7" s="93" t="s">
        <v>853</v>
      </c>
      <c r="J7" s="93" t="s">
        <v>854</v>
      </c>
      <c r="K7" s="93">
        <v>4107</v>
      </c>
      <c r="L7" s="93" t="s">
        <v>22</v>
      </c>
      <c r="M7" s="93" t="s">
        <v>617</v>
      </c>
      <c r="N7" s="93" t="s">
        <v>1268</v>
      </c>
      <c r="O7" s="93" t="s">
        <v>1268</v>
      </c>
      <c r="T7" s="93">
        <v>2010</v>
      </c>
      <c r="W7" s="93" t="s">
        <v>21</v>
      </c>
      <c r="X7" s="93" t="s">
        <v>11</v>
      </c>
      <c r="AB7" s="93" t="s">
        <v>851</v>
      </c>
      <c r="AC7" s="93">
        <v>900</v>
      </c>
      <c r="AG7" s="93" t="s">
        <v>850</v>
      </c>
      <c r="AH7" s="93">
        <v>15.9</v>
      </c>
    </row>
    <row r="8" spans="1:42" x14ac:dyDescent="0.3">
      <c r="B8" s="93" t="s">
        <v>164</v>
      </c>
      <c r="C8" s="93" t="s">
        <v>631</v>
      </c>
      <c r="D8" s="93" t="s">
        <v>6</v>
      </c>
      <c r="E8" s="93" t="s">
        <v>81</v>
      </c>
      <c r="F8" s="93" t="s">
        <v>632</v>
      </c>
      <c r="G8" s="93">
        <v>2007</v>
      </c>
      <c r="H8" s="93" t="s">
        <v>7</v>
      </c>
      <c r="I8" s="93" t="s">
        <v>163</v>
      </c>
      <c r="J8" s="93">
        <v>27667</v>
      </c>
      <c r="K8" s="93" t="s">
        <v>204</v>
      </c>
      <c r="L8" s="93" t="s">
        <v>14</v>
      </c>
      <c r="M8" s="93" t="s">
        <v>617</v>
      </c>
      <c r="N8" s="93" t="s">
        <v>1268</v>
      </c>
      <c r="O8" s="93" t="s">
        <v>1268</v>
      </c>
      <c r="T8" s="93">
        <v>2017</v>
      </c>
      <c r="W8" s="93" t="s">
        <v>21</v>
      </c>
      <c r="X8" s="93" t="s">
        <v>8</v>
      </c>
      <c r="AB8" s="93" t="s">
        <v>630</v>
      </c>
      <c r="AC8" s="93">
        <v>229</v>
      </c>
      <c r="AG8" s="93" t="s">
        <v>629</v>
      </c>
      <c r="AH8" s="93">
        <v>17</v>
      </c>
    </row>
    <row r="9" spans="1:42" x14ac:dyDescent="0.3">
      <c r="B9" s="93" t="s">
        <v>1316</v>
      </c>
      <c r="C9" s="93" t="s">
        <v>1317</v>
      </c>
      <c r="D9" s="93" t="s">
        <v>82</v>
      </c>
      <c r="E9" s="93" t="s">
        <v>85</v>
      </c>
      <c r="F9" s="93" t="s">
        <v>1325</v>
      </c>
      <c r="G9" s="93">
        <v>1958</v>
      </c>
      <c r="H9" s="93" t="s">
        <v>7</v>
      </c>
      <c r="I9" s="93" t="s">
        <v>1318</v>
      </c>
      <c r="J9" s="93">
        <v>6168</v>
      </c>
      <c r="K9" s="93">
        <v>36433</v>
      </c>
      <c r="L9" s="93" t="s">
        <v>14</v>
      </c>
      <c r="M9" s="93" t="s">
        <v>617</v>
      </c>
      <c r="N9" s="93" t="s">
        <v>1268</v>
      </c>
      <c r="O9" s="93" t="s">
        <v>1268</v>
      </c>
      <c r="Q9" s="93" t="s">
        <v>1319</v>
      </c>
      <c r="R9" s="93" t="s">
        <v>1320</v>
      </c>
      <c r="T9" s="93">
        <v>2010</v>
      </c>
      <c r="U9" s="93">
        <v>2010</v>
      </c>
      <c r="W9" s="93" t="s">
        <v>21</v>
      </c>
      <c r="X9" s="93" t="s">
        <v>1321</v>
      </c>
      <c r="Y9" s="93" t="s">
        <v>1322</v>
      </c>
      <c r="Z9" s="93" t="s">
        <v>1323</v>
      </c>
      <c r="AA9" s="93">
        <v>15</v>
      </c>
      <c r="AB9" s="93" t="s">
        <v>1324</v>
      </c>
      <c r="AC9" s="93">
        <v>194</v>
      </c>
      <c r="AE9" s="93" t="s">
        <v>1090</v>
      </c>
      <c r="AF9" s="93" t="s">
        <v>1178</v>
      </c>
      <c r="AG9" s="93" t="s">
        <v>1039</v>
      </c>
      <c r="AH9" s="93">
        <v>12</v>
      </c>
      <c r="AL9" s="93" t="s">
        <v>1229</v>
      </c>
    </row>
    <row r="10" spans="1:42" x14ac:dyDescent="0.3">
      <c r="B10" s="93" t="s">
        <v>10</v>
      </c>
      <c r="C10" s="93" t="s">
        <v>635</v>
      </c>
      <c r="D10" s="93" t="s">
        <v>6</v>
      </c>
      <c r="E10" s="93" t="s">
        <v>81</v>
      </c>
      <c r="F10" s="93" t="s">
        <v>636</v>
      </c>
      <c r="G10" s="93">
        <v>1911</v>
      </c>
      <c r="H10" s="93" t="s">
        <v>7</v>
      </c>
      <c r="I10" s="93" t="s">
        <v>19</v>
      </c>
      <c r="J10" s="93" t="s">
        <v>193</v>
      </c>
      <c r="K10" s="93">
        <v>13685</v>
      </c>
      <c r="L10" s="93" t="s">
        <v>13</v>
      </c>
      <c r="M10" s="93" t="s">
        <v>617</v>
      </c>
      <c r="N10" s="93" t="s">
        <v>1268</v>
      </c>
      <c r="O10" s="93" t="s">
        <v>1268</v>
      </c>
      <c r="T10" s="93">
        <v>2015</v>
      </c>
      <c r="W10" s="93" t="s">
        <v>21</v>
      </c>
      <c r="X10" s="93" t="s">
        <v>11</v>
      </c>
      <c r="AB10" s="93" t="s">
        <v>634</v>
      </c>
      <c r="AC10" s="93">
        <v>372</v>
      </c>
      <c r="AG10" s="93" t="s">
        <v>633</v>
      </c>
      <c r="AH10" s="93">
        <v>16</v>
      </c>
    </row>
    <row r="11" spans="1:42" x14ac:dyDescent="0.3">
      <c r="B11" s="93" t="s">
        <v>415</v>
      </c>
      <c r="D11" s="93" t="s">
        <v>102</v>
      </c>
      <c r="H11" s="93" t="s">
        <v>126</v>
      </c>
      <c r="I11" s="93" t="s">
        <v>414</v>
      </c>
      <c r="J11" s="93" t="s">
        <v>416</v>
      </c>
      <c r="K11" s="93" t="s">
        <v>417</v>
      </c>
      <c r="L11" s="93" t="s">
        <v>126</v>
      </c>
      <c r="T11" s="93">
        <v>2014</v>
      </c>
      <c r="W11" s="93" t="s">
        <v>21</v>
      </c>
      <c r="X11" s="93" t="s">
        <v>277</v>
      </c>
    </row>
    <row r="12" spans="1:42" x14ac:dyDescent="0.3">
      <c r="B12" s="93" t="s">
        <v>16</v>
      </c>
      <c r="C12" s="93" t="s">
        <v>980</v>
      </c>
      <c r="D12" s="93" t="s">
        <v>6</v>
      </c>
      <c r="E12" s="93" t="s">
        <v>81</v>
      </c>
      <c r="F12" s="93" t="s">
        <v>981</v>
      </c>
      <c r="G12" s="93">
        <v>1900</v>
      </c>
      <c r="H12" s="93" t="s">
        <v>7</v>
      </c>
      <c r="I12" s="93" t="s">
        <v>18</v>
      </c>
      <c r="J12" s="93" t="s">
        <v>194</v>
      </c>
      <c r="K12" s="93">
        <v>7066</v>
      </c>
      <c r="L12" s="93" t="s">
        <v>14</v>
      </c>
      <c r="M12" s="93" t="s">
        <v>617</v>
      </c>
      <c r="N12" s="93" t="s">
        <v>1268</v>
      </c>
      <c r="O12" s="93" t="s">
        <v>1268</v>
      </c>
      <c r="T12" s="93">
        <v>2009</v>
      </c>
      <c r="W12" s="93" t="s">
        <v>21</v>
      </c>
      <c r="X12" s="93" t="s">
        <v>17</v>
      </c>
      <c r="AB12" s="93" t="s">
        <v>979</v>
      </c>
      <c r="AC12" s="93">
        <v>155</v>
      </c>
      <c r="AG12" s="93" t="s">
        <v>978</v>
      </c>
      <c r="AH12" s="93">
        <v>6.9</v>
      </c>
    </row>
    <row r="13" spans="1:42" x14ac:dyDescent="0.3">
      <c r="B13" s="93" t="s">
        <v>1326</v>
      </c>
      <c r="C13" s="93" t="s">
        <v>1330</v>
      </c>
      <c r="D13" s="93" t="s">
        <v>82</v>
      </c>
      <c r="E13" s="93" t="s">
        <v>83</v>
      </c>
      <c r="F13" s="93" t="s">
        <v>1339</v>
      </c>
      <c r="G13" s="93">
        <v>2003</v>
      </c>
      <c r="H13" s="93" t="s">
        <v>7</v>
      </c>
      <c r="I13" s="93" t="s">
        <v>1337</v>
      </c>
      <c r="J13" s="93">
        <v>9455</v>
      </c>
      <c r="K13" s="93">
        <v>42744</v>
      </c>
      <c r="L13" s="93" t="s">
        <v>1338</v>
      </c>
      <c r="M13" s="93" t="s">
        <v>617</v>
      </c>
      <c r="N13" s="93" t="s">
        <v>1268</v>
      </c>
      <c r="O13" s="93" t="s">
        <v>1268</v>
      </c>
      <c r="P13" s="93" t="s">
        <v>1331</v>
      </c>
      <c r="Q13" s="93" t="s">
        <v>1332</v>
      </c>
      <c r="R13" s="93" t="s">
        <v>1333</v>
      </c>
      <c r="T13" s="93">
        <v>2003</v>
      </c>
      <c r="U13" s="93">
        <v>2018</v>
      </c>
      <c r="V13" s="93">
        <v>14</v>
      </c>
      <c r="W13" s="93" t="s">
        <v>21</v>
      </c>
      <c r="X13" s="93" t="s">
        <v>1329</v>
      </c>
      <c r="Y13" s="93" t="s">
        <v>1336</v>
      </c>
      <c r="Z13" s="93" t="s">
        <v>1328</v>
      </c>
      <c r="AA13" s="93">
        <v>269</v>
      </c>
      <c r="AB13" s="93" t="s">
        <v>1327</v>
      </c>
      <c r="AC13" s="93">
        <v>127</v>
      </c>
      <c r="AE13" s="93" t="s">
        <v>1092</v>
      </c>
      <c r="AF13" s="93" t="s">
        <v>1178</v>
      </c>
      <c r="AG13" s="93" t="s">
        <v>1039</v>
      </c>
      <c r="AH13" s="93">
        <v>12</v>
      </c>
      <c r="AL13" s="93" t="s">
        <v>1223</v>
      </c>
    </row>
    <row r="14" spans="1:42" x14ac:dyDescent="0.3">
      <c r="B14" s="93" t="s">
        <v>734</v>
      </c>
      <c r="C14" s="93" t="s">
        <v>745</v>
      </c>
      <c r="D14" s="93" t="s">
        <v>106</v>
      </c>
      <c r="E14" s="93" t="s">
        <v>730</v>
      </c>
      <c r="F14" s="93" t="s">
        <v>739</v>
      </c>
      <c r="G14" s="93">
        <v>1883</v>
      </c>
      <c r="H14" s="93" t="s">
        <v>728</v>
      </c>
      <c r="I14" s="93" t="s">
        <v>736</v>
      </c>
      <c r="J14" s="93" t="s">
        <v>738</v>
      </c>
      <c r="K14" s="93">
        <v>3769</v>
      </c>
      <c r="L14" s="93" t="s">
        <v>728</v>
      </c>
      <c r="M14" s="93" t="s">
        <v>617</v>
      </c>
      <c r="N14" s="93" t="s">
        <v>737</v>
      </c>
      <c r="O14" s="93" t="s">
        <v>1268</v>
      </c>
      <c r="T14" s="93">
        <v>2010</v>
      </c>
      <c r="W14" s="93" t="s">
        <v>21</v>
      </c>
      <c r="X14" s="93" t="s">
        <v>405</v>
      </c>
      <c r="AB14" s="93" t="s">
        <v>735</v>
      </c>
      <c r="AC14" s="93">
        <v>101</v>
      </c>
      <c r="AG14" s="93" t="s">
        <v>624</v>
      </c>
      <c r="AH14" s="93">
        <v>13</v>
      </c>
    </row>
    <row r="15" spans="1:42" x14ac:dyDescent="0.3">
      <c r="B15" s="93" t="s">
        <v>743</v>
      </c>
      <c r="C15" s="93" t="s">
        <v>746</v>
      </c>
      <c r="D15" s="93" t="s">
        <v>744</v>
      </c>
      <c r="E15" s="93" t="s">
        <v>744</v>
      </c>
      <c r="F15" s="93" t="s">
        <v>748</v>
      </c>
      <c r="G15" s="93" t="s">
        <v>747</v>
      </c>
      <c r="H15" s="93" t="s">
        <v>728</v>
      </c>
      <c r="I15" s="93" t="s">
        <v>736</v>
      </c>
      <c r="J15" s="93" t="s">
        <v>738</v>
      </c>
      <c r="K15" s="93">
        <v>3769</v>
      </c>
      <c r="L15" s="93" t="s">
        <v>728</v>
      </c>
      <c r="M15" s="93" t="s">
        <v>617</v>
      </c>
      <c r="N15" s="93" t="s">
        <v>737</v>
      </c>
      <c r="O15" s="93" t="s">
        <v>1268</v>
      </c>
      <c r="T15" s="93">
        <v>1967</v>
      </c>
      <c r="W15" s="93" t="s">
        <v>21</v>
      </c>
      <c r="X15" s="93" t="s">
        <v>740</v>
      </c>
      <c r="AC15" s="93">
        <v>766</v>
      </c>
      <c r="AG15" s="93" t="s">
        <v>741</v>
      </c>
      <c r="AH15" s="93">
        <v>32.650700000000001</v>
      </c>
      <c r="AI15" s="93" t="s">
        <v>1345</v>
      </c>
    </row>
    <row r="16" spans="1:42" x14ac:dyDescent="0.3">
      <c r="B16" s="93">
        <v>1984</v>
      </c>
      <c r="D16" s="93" t="s">
        <v>6</v>
      </c>
      <c r="H16" s="93" t="s">
        <v>7</v>
      </c>
      <c r="I16" s="93" t="s">
        <v>1190</v>
      </c>
      <c r="J16" s="93">
        <v>1272</v>
      </c>
      <c r="K16" s="93">
        <v>18284</v>
      </c>
      <c r="L16" s="93" t="s">
        <v>13</v>
      </c>
      <c r="T16" s="93">
        <v>2016</v>
      </c>
      <c r="W16" s="93" t="s">
        <v>21</v>
      </c>
      <c r="X16" s="93" t="s">
        <v>8</v>
      </c>
    </row>
    <row r="17" spans="2:38" x14ac:dyDescent="0.3">
      <c r="B17" s="93" t="s">
        <v>365</v>
      </c>
      <c r="D17" s="93" t="s">
        <v>6</v>
      </c>
      <c r="H17" s="93" t="s">
        <v>7</v>
      </c>
      <c r="I17" s="93" t="s">
        <v>1190</v>
      </c>
      <c r="J17" s="93">
        <v>1272</v>
      </c>
      <c r="K17" s="93">
        <v>18284</v>
      </c>
      <c r="L17" s="93" t="s">
        <v>13</v>
      </c>
      <c r="T17" s="93">
        <v>2016</v>
      </c>
      <c r="W17" s="93" t="s">
        <v>21</v>
      </c>
      <c r="X17" s="93" t="s">
        <v>8</v>
      </c>
    </row>
    <row r="18" spans="2:38" x14ac:dyDescent="0.3">
      <c r="B18" s="93" t="s">
        <v>1366</v>
      </c>
      <c r="C18" s="93" t="s">
        <v>1366</v>
      </c>
      <c r="D18" s="93" t="s">
        <v>82</v>
      </c>
      <c r="E18" s="93" t="s">
        <v>84</v>
      </c>
      <c r="F18" s="93" t="s">
        <v>1370</v>
      </c>
      <c r="G18" s="93">
        <v>1999</v>
      </c>
      <c r="H18" s="93" t="s">
        <v>21</v>
      </c>
      <c r="I18" s="93" t="s">
        <v>1367</v>
      </c>
      <c r="J18" s="93" t="s">
        <v>202</v>
      </c>
      <c r="K18" s="93" t="s">
        <v>204</v>
      </c>
      <c r="L18" s="93" t="s">
        <v>22</v>
      </c>
      <c r="M18" s="93" t="s">
        <v>617</v>
      </c>
      <c r="N18" s="93" t="s">
        <v>1268</v>
      </c>
      <c r="O18" s="93" t="s">
        <v>1268</v>
      </c>
      <c r="T18" s="93">
        <v>2022</v>
      </c>
      <c r="U18" s="93">
        <v>2022</v>
      </c>
      <c r="W18" s="93" t="s">
        <v>21</v>
      </c>
      <c r="X18" s="93" t="s">
        <v>1357</v>
      </c>
      <c r="Y18" s="93" t="s">
        <v>1300</v>
      </c>
      <c r="Z18" s="93" t="s">
        <v>1368</v>
      </c>
      <c r="AA18" s="93">
        <v>127</v>
      </c>
      <c r="AB18" s="93" t="s">
        <v>1369</v>
      </c>
      <c r="AC18" s="93">
        <v>358</v>
      </c>
      <c r="AE18" s="93" t="s">
        <v>1090</v>
      </c>
      <c r="AF18" s="93" t="s">
        <v>1178</v>
      </c>
      <c r="AG18" s="93" t="s">
        <v>675</v>
      </c>
      <c r="AH18" s="93">
        <v>18</v>
      </c>
      <c r="AL18" s="93" t="s">
        <v>1229</v>
      </c>
    </row>
    <row r="19" spans="2:38" x14ac:dyDescent="0.3">
      <c r="B19" s="93" t="s">
        <v>681</v>
      </c>
      <c r="C19" s="93" t="s">
        <v>689</v>
      </c>
      <c r="D19" s="93" t="s">
        <v>6</v>
      </c>
      <c r="E19" s="93" t="s">
        <v>81</v>
      </c>
      <c r="F19" s="93" t="s">
        <v>690</v>
      </c>
      <c r="G19" s="93">
        <v>1974</v>
      </c>
      <c r="H19" s="93" t="s">
        <v>49</v>
      </c>
      <c r="I19" s="93" t="s">
        <v>686</v>
      </c>
      <c r="J19" s="93">
        <v>6565</v>
      </c>
      <c r="K19" s="93">
        <v>31244</v>
      </c>
      <c r="L19" s="93" t="s">
        <v>46</v>
      </c>
      <c r="M19" s="93" t="s">
        <v>617</v>
      </c>
      <c r="N19" s="93" t="s">
        <v>687</v>
      </c>
      <c r="O19" s="93" t="s">
        <v>1268</v>
      </c>
      <c r="T19" s="93">
        <v>2015</v>
      </c>
      <c r="W19" s="93" t="s">
        <v>21</v>
      </c>
      <c r="X19" s="93" t="s">
        <v>277</v>
      </c>
      <c r="AB19" s="93" t="s">
        <v>684</v>
      </c>
      <c r="AC19" s="93">
        <v>139</v>
      </c>
      <c r="AG19" s="93" t="s">
        <v>682</v>
      </c>
      <c r="AH19" s="93">
        <v>10</v>
      </c>
    </row>
    <row r="20" spans="2:38" x14ac:dyDescent="0.3">
      <c r="B20" s="93" t="s">
        <v>680</v>
      </c>
      <c r="C20" s="93" t="s">
        <v>685</v>
      </c>
      <c r="D20" s="93" t="s">
        <v>6</v>
      </c>
      <c r="E20" s="93" t="s">
        <v>81</v>
      </c>
      <c r="F20" s="93" t="s">
        <v>691</v>
      </c>
      <c r="G20" s="93">
        <v>1963</v>
      </c>
      <c r="H20" s="93" t="s">
        <v>49</v>
      </c>
      <c r="I20" s="93" t="s">
        <v>686</v>
      </c>
      <c r="J20" s="93">
        <v>6565</v>
      </c>
      <c r="K20" s="93">
        <v>31244</v>
      </c>
      <c r="L20" s="93" t="s">
        <v>46</v>
      </c>
      <c r="M20" s="93" t="s">
        <v>617</v>
      </c>
      <c r="N20" s="93" t="s">
        <v>687</v>
      </c>
      <c r="O20" s="93" t="s">
        <v>1268</v>
      </c>
      <c r="T20" s="93">
        <v>2016</v>
      </c>
      <c r="W20" s="93" t="s">
        <v>21</v>
      </c>
      <c r="X20" s="93" t="s">
        <v>8</v>
      </c>
      <c r="AB20" s="93" t="s">
        <v>688</v>
      </c>
      <c r="AC20" s="93">
        <v>232</v>
      </c>
      <c r="AG20" s="93" t="s">
        <v>683</v>
      </c>
      <c r="AH20" s="93">
        <v>11</v>
      </c>
    </row>
    <row r="21" spans="2:38" x14ac:dyDescent="0.3">
      <c r="B21" s="93" t="s">
        <v>154</v>
      </c>
      <c r="D21" s="93" t="s">
        <v>82</v>
      </c>
      <c r="H21" s="93" t="s">
        <v>7</v>
      </c>
      <c r="I21" s="93" t="s">
        <v>1198</v>
      </c>
      <c r="J21" s="93" t="s">
        <v>209</v>
      </c>
      <c r="K21" s="93" t="s">
        <v>209</v>
      </c>
      <c r="L21" s="93" t="s">
        <v>13</v>
      </c>
      <c r="T21" s="93">
        <v>2017</v>
      </c>
      <c r="W21" s="93" t="s">
        <v>21</v>
      </c>
      <c r="X21" s="93" t="s">
        <v>143</v>
      </c>
    </row>
    <row r="22" spans="2:38" x14ac:dyDescent="0.3">
      <c r="B22" s="93" t="s">
        <v>392</v>
      </c>
      <c r="D22" s="93" t="s">
        <v>6</v>
      </c>
      <c r="H22" s="93" t="s">
        <v>7</v>
      </c>
      <c r="I22" s="93" t="s">
        <v>389</v>
      </c>
      <c r="J22" s="93" t="s">
        <v>390</v>
      </c>
      <c r="K22" s="93" t="s">
        <v>391</v>
      </c>
      <c r="L22" s="93" t="s">
        <v>13</v>
      </c>
      <c r="T22" s="93">
        <v>1996</v>
      </c>
      <c r="W22" s="93" t="s">
        <v>21</v>
      </c>
      <c r="X22" s="93" t="s">
        <v>8</v>
      </c>
    </row>
    <row r="23" spans="2:38" x14ac:dyDescent="0.3">
      <c r="B23" s="93" t="s">
        <v>263</v>
      </c>
      <c r="C23" s="93" t="s">
        <v>815</v>
      </c>
      <c r="D23" s="93" t="s">
        <v>6</v>
      </c>
      <c r="E23" s="93" t="s">
        <v>81</v>
      </c>
      <c r="F23" s="93" t="s">
        <v>816</v>
      </c>
      <c r="G23" s="93" t="s">
        <v>1213</v>
      </c>
      <c r="H23" s="93" t="s">
        <v>254</v>
      </c>
      <c r="I23" s="93" t="s">
        <v>264</v>
      </c>
      <c r="J23" s="93" t="s">
        <v>265</v>
      </c>
      <c r="K23" s="93">
        <v>14680</v>
      </c>
      <c r="L23" s="93" t="s">
        <v>255</v>
      </c>
      <c r="M23" s="93" t="s">
        <v>617</v>
      </c>
      <c r="N23" s="93" t="s">
        <v>1268</v>
      </c>
      <c r="O23" s="93" t="s">
        <v>1268</v>
      </c>
      <c r="T23" s="93">
        <v>1986</v>
      </c>
      <c r="W23" s="93" t="s">
        <v>21</v>
      </c>
      <c r="X23" s="93" t="s">
        <v>17</v>
      </c>
      <c r="AC23" s="93">
        <v>386</v>
      </c>
    </row>
    <row r="24" spans="2:38" x14ac:dyDescent="0.3">
      <c r="B24" s="93" t="s">
        <v>335</v>
      </c>
      <c r="D24" s="93" t="s">
        <v>6</v>
      </c>
      <c r="H24" s="93" t="s">
        <v>7</v>
      </c>
      <c r="I24" s="93" t="s">
        <v>336</v>
      </c>
      <c r="J24" s="93">
        <v>6266</v>
      </c>
      <c r="K24" s="93">
        <v>34295</v>
      </c>
      <c r="L24" s="93" t="s">
        <v>13</v>
      </c>
      <c r="T24" s="93">
        <v>2014</v>
      </c>
      <c r="W24" s="93" t="s">
        <v>21</v>
      </c>
      <c r="X24" s="93" t="s">
        <v>277</v>
      </c>
    </row>
    <row r="25" spans="2:38" x14ac:dyDescent="0.3">
      <c r="B25" s="93" t="s">
        <v>1340</v>
      </c>
      <c r="C25" s="93" t="s">
        <v>1353</v>
      </c>
      <c r="D25" s="93" t="s">
        <v>82</v>
      </c>
      <c r="E25" s="93" t="s">
        <v>78</v>
      </c>
      <c r="F25" s="93" t="s">
        <v>1354</v>
      </c>
      <c r="G25" s="93">
        <v>1978</v>
      </c>
      <c r="H25" s="93" t="s">
        <v>7</v>
      </c>
      <c r="I25" s="93" t="s">
        <v>1341</v>
      </c>
      <c r="J25" s="93">
        <v>13743</v>
      </c>
      <c r="K25" s="93" t="s">
        <v>204</v>
      </c>
      <c r="L25" s="93" t="s">
        <v>13</v>
      </c>
      <c r="M25" s="93" t="s">
        <v>617</v>
      </c>
      <c r="N25" s="93" t="s">
        <v>1268</v>
      </c>
      <c r="O25" s="93" t="s">
        <v>1268</v>
      </c>
      <c r="P25" s="93" t="s">
        <v>1350</v>
      </c>
      <c r="Q25" s="93" t="s">
        <v>1352</v>
      </c>
      <c r="R25" s="93" t="s">
        <v>1351</v>
      </c>
      <c r="T25" s="93">
        <v>1980</v>
      </c>
      <c r="U25" s="93">
        <v>1980</v>
      </c>
      <c r="W25" s="93" t="s">
        <v>21</v>
      </c>
      <c r="X25" s="93" t="s">
        <v>8</v>
      </c>
      <c r="Y25" s="93" t="s">
        <v>1259</v>
      </c>
      <c r="Z25" s="93" t="s">
        <v>1342</v>
      </c>
      <c r="AC25" s="93">
        <v>341</v>
      </c>
      <c r="AE25" s="93" t="s">
        <v>1090</v>
      </c>
      <c r="AF25" s="93" t="s">
        <v>1182</v>
      </c>
      <c r="AG25" s="93" t="s">
        <v>1343</v>
      </c>
      <c r="AH25" s="93">
        <v>9.5587999999999997</v>
      </c>
      <c r="AI25" s="93" t="s">
        <v>1344</v>
      </c>
      <c r="AL25" s="93" t="s">
        <v>1223</v>
      </c>
    </row>
    <row r="26" spans="2:38" x14ac:dyDescent="0.3">
      <c r="B26" s="93" t="s">
        <v>637</v>
      </c>
      <c r="C26" s="93" t="s">
        <v>637</v>
      </c>
      <c r="D26" s="93" t="s">
        <v>6</v>
      </c>
      <c r="E26" s="93" t="s">
        <v>81</v>
      </c>
      <c r="F26" s="93" t="s">
        <v>641</v>
      </c>
      <c r="G26" s="93">
        <v>1945</v>
      </c>
      <c r="H26" s="93" t="s">
        <v>21</v>
      </c>
      <c r="I26" s="93" t="s">
        <v>638</v>
      </c>
      <c r="J26" s="93">
        <v>2481</v>
      </c>
      <c r="K26" s="93">
        <v>26326</v>
      </c>
      <c r="L26" s="93" t="s">
        <v>22</v>
      </c>
      <c r="M26" s="93" t="s">
        <v>617</v>
      </c>
      <c r="N26" s="93" t="s">
        <v>1268</v>
      </c>
      <c r="O26" s="93" t="s">
        <v>1268</v>
      </c>
      <c r="T26" s="93">
        <v>2000</v>
      </c>
      <c r="W26" s="93" t="s">
        <v>21</v>
      </c>
      <c r="X26" s="93" t="s">
        <v>8</v>
      </c>
      <c r="AB26" s="93" t="s">
        <v>639</v>
      </c>
      <c r="AC26" s="93">
        <v>169</v>
      </c>
      <c r="AG26" s="93" t="s">
        <v>640</v>
      </c>
      <c r="AH26" s="93">
        <v>12.39</v>
      </c>
    </row>
    <row r="27" spans="2:38" x14ac:dyDescent="0.3">
      <c r="B27" s="93" t="s">
        <v>957</v>
      </c>
      <c r="C27" s="93" t="s">
        <v>955</v>
      </c>
      <c r="D27" s="93" t="s">
        <v>6</v>
      </c>
      <c r="E27" s="93" t="s">
        <v>77</v>
      </c>
      <c r="F27" s="93" t="s">
        <v>958</v>
      </c>
      <c r="G27" s="93">
        <v>1956</v>
      </c>
      <c r="H27" s="93" t="s">
        <v>21</v>
      </c>
      <c r="I27" s="93" t="s">
        <v>377</v>
      </c>
      <c r="J27" s="93">
        <v>8689</v>
      </c>
      <c r="K27" s="93">
        <v>31309</v>
      </c>
      <c r="L27" s="93" t="s">
        <v>22</v>
      </c>
      <c r="M27" s="93" t="s">
        <v>617</v>
      </c>
      <c r="N27" s="93" t="s">
        <v>1268</v>
      </c>
      <c r="O27" s="93" t="s">
        <v>1268</v>
      </c>
      <c r="T27" s="93">
        <v>2017</v>
      </c>
      <c r="W27" s="93" t="s">
        <v>21</v>
      </c>
      <c r="X27" s="93" t="s">
        <v>8</v>
      </c>
      <c r="AB27" s="93" t="s">
        <v>954</v>
      </c>
      <c r="AC27" s="93">
        <v>1015</v>
      </c>
      <c r="AG27" s="93" t="s">
        <v>953</v>
      </c>
      <c r="AH27" s="93">
        <v>28</v>
      </c>
    </row>
    <row r="28" spans="2:38" x14ac:dyDescent="0.3">
      <c r="B28" s="93" t="s">
        <v>378</v>
      </c>
      <c r="C28" s="93" t="s">
        <v>879</v>
      </c>
      <c r="D28" s="93" t="s">
        <v>6</v>
      </c>
      <c r="E28" s="93" t="s">
        <v>81</v>
      </c>
      <c r="F28" s="93" t="s">
        <v>881</v>
      </c>
      <c r="G28" s="93" t="s">
        <v>880</v>
      </c>
      <c r="H28" s="93" t="s">
        <v>21</v>
      </c>
      <c r="I28" s="93" t="s">
        <v>377</v>
      </c>
      <c r="J28" s="93">
        <v>8689</v>
      </c>
      <c r="K28" s="93">
        <v>31309</v>
      </c>
      <c r="L28" s="93" t="s">
        <v>22</v>
      </c>
      <c r="M28" s="93" t="s">
        <v>617</v>
      </c>
      <c r="N28" s="93" t="s">
        <v>1268</v>
      </c>
      <c r="O28" s="93" t="s">
        <v>1268</v>
      </c>
      <c r="T28" s="93">
        <v>2016</v>
      </c>
      <c r="W28" s="93" t="s">
        <v>21</v>
      </c>
      <c r="X28" s="93" t="s">
        <v>8</v>
      </c>
      <c r="AB28" s="93" t="s">
        <v>878</v>
      </c>
      <c r="AC28" s="93">
        <v>471</v>
      </c>
      <c r="AG28" s="93" t="s">
        <v>646</v>
      </c>
      <c r="AH28" s="93">
        <v>14</v>
      </c>
    </row>
    <row r="29" spans="2:38" x14ac:dyDescent="0.3">
      <c r="B29" s="93" t="s">
        <v>379</v>
      </c>
      <c r="C29" s="93" t="s">
        <v>379</v>
      </c>
      <c r="D29" s="93" t="s">
        <v>6</v>
      </c>
      <c r="E29" s="93" t="s">
        <v>81</v>
      </c>
      <c r="F29" s="93" t="s">
        <v>883</v>
      </c>
      <c r="G29" s="93">
        <v>1979</v>
      </c>
      <c r="H29" s="93" t="s">
        <v>21</v>
      </c>
      <c r="I29" s="93" t="s">
        <v>377</v>
      </c>
      <c r="J29" s="93">
        <v>8689</v>
      </c>
      <c r="K29" s="93">
        <v>31309</v>
      </c>
      <c r="L29" s="93" t="s">
        <v>22</v>
      </c>
      <c r="M29" s="93" t="s">
        <v>617</v>
      </c>
      <c r="N29" s="93" t="s">
        <v>1268</v>
      </c>
      <c r="O29" s="93" t="s">
        <v>1268</v>
      </c>
      <c r="T29" s="93">
        <v>2016</v>
      </c>
      <c r="W29" s="93" t="s">
        <v>21</v>
      </c>
      <c r="X29" s="93" t="s">
        <v>8</v>
      </c>
      <c r="AB29" s="93" t="s">
        <v>882</v>
      </c>
      <c r="AC29" s="93">
        <v>264</v>
      </c>
      <c r="AG29" s="93" t="s">
        <v>646</v>
      </c>
      <c r="AH29" s="93">
        <v>14</v>
      </c>
    </row>
    <row r="30" spans="2:38" x14ac:dyDescent="0.3">
      <c r="B30" s="93" t="s">
        <v>932</v>
      </c>
      <c r="C30" s="93" t="s">
        <v>932</v>
      </c>
      <c r="D30" s="93" t="s">
        <v>82</v>
      </c>
      <c r="E30" s="93" t="s">
        <v>85</v>
      </c>
      <c r="F30" s="93" t="s">
        <v>933</v>
      </c>
      <c r="G30" s="93">
        <v>1988</v>
      </c>
      <c r="H30" s="93" t="s">
        <v>21</v>
      </c>
      <c r="I30" s="93" t="s">
        <v>377</v>
      </c>
      <c r="J30" s="93">
        <v>8689</v>
      </c>
      <c r="K30" s="93">
        <v>31309</v>
      </c>
      <c r="L30" s="93" t="s">
        <v>22</v>
      </c>
      <c r="M30" s="93" t="s">
        <v>617</v>
      </c>
      <c r="N30" s="93" t="s">
        <v>1268</v>
      </c>
      <c r="O30" s="93" t="s">
        <v>1268</v>
      </c>
      <c r="P30" s="93" t="s">
        <v>1207</v>
      </c>
      <c r="T30" s="93">
        <v>2019</v>
      </c>
      <c r="W30" s="93" t="s">
        <v>21</v>
      </c>
      <c r="X30" s="93" t="s">
        <v>8</v>
      </c>
      <c r="AB30" s="93" t="s">
        <v>931</v>
      </c>
      <c r="AC30" s="93">
        <v>179</v>
      </c>
      <c r="AG30" s="93" t="s">
        <v>624</v>
      </c>
      <c r="AH30" s="93">
        <v>13</v>
      </c>
    </row>
    <row r="31" spans="2:38" x14ac:dyDescent="0.3">
      <c r="B31" s="93" t="s">
        <v>328</v>
      </c>
      <c r="D31" s="93" t="s">
        <v>6</v>
      </c>
      <c r="H31" s="93" t="s">
        <v>21</v>
      </c>
      <c r="I31" s="93" t="s">
        <v>327</v>
      </c>
      <c r="J31" s="93">
        <v>9381</v>
      </c>
      <c r="K31" s="93">
        <v>43663</v>
      </c>
      <c r="L31" s="93" t="s">
        <v>22</v>
      </c>
      <c r="T31" s="93">
        <v>2002</v>
      </c>
      <c r="W31" s="93" t="s">
        <v>21</v>
      </c>
      <c r="X31" s="93" t="s">
        <v>8</v>
      </c>
    </row>
    <row r="32" spans="2:38" x14ac:dyDescent="0.3">
      <c r="B32" s="93" t="s">
        <v>320</v>
      </c>
      <c r="C32" s="93" t="s">
        <v>1043</v>
      </c>
      <c r="D32" s="93" t="s">
        <v>6</v>
      </c>
      <c r="E32" s="93" t="s">
        <v>78</v>
      </c>
      <c r="G32" s="93" t="s">
        <v>1042</v>
      </c>
      <c r="H32" s="93" t="s">
        <v>319</v>
      </c>
      <c r="I32" s="93" t="s">
        <v>315</v>
      </c>
      <c r="J32" s="93" t="s">
        <v>316</v>
      </c>
      <c r="K32" s="93" t="s">
        <v>317</v>
      </c>
      <c r="L32" s="93" t="s">
        <v>318</v>
      </c>
      <c r="M32" s="93" t="s">
        <v>617</v>
      </c>
      <c r="N32" s="93" t="s">
        <v>1268</v>
      </c>
      <c r="O32" s="93" t="s">
        <v>1268</v>
      </c>
      <c r="T32" s="93">
        <v>2018</v>
      </c>
      <c r="W32" s="93" t="s">
        <v>21</v>
      </c>
      <c r="X32" s="93" t="s">
        <v>11</v>
      </c>
      <c r="AB32" s="93" t="s">
        <v>1040</v>
      </c>
      <c r="AC32" s="93">
        <v>642</v>
      </c>
      <c r="AG32" s="93" t="s">
        <v>1039</v>
      </c>
      <c r="AH32" s="93">
        <v>12</v>
      </c>
    </row>
    <row r="33" spans="2:34" x14ac:dyDescent="0.3">
      <c r="B33" s="93" t="s">
        <v>360</v>
      </c>
      <c r="D33" s="93" t="s">
        <v>6</v>
      </c>
      <c r="H33" s="93" t="s">
        <v>126</v>
      </c>
      <c r="I33" s="93" t="s">
        <v>358</v>
      </c>
      <c r="J33" s="93">
        <v>2512</v>
      </c>
      <c r="K33" s="93">
        <v>26874</v>
      </c>
      <c r="L33" s="93" t="s">
        <v>126</v>
      </c>
      <c r="T33" s="93">
        <v>1973</v>
      </c>
      <c r="W33" s="93" t="s">
        <v>21</v>
      </c>
      <c r="X33" s="93" t="s">
        <v>8</v>
      </c>
    </row>
    <row r="34" spans="2:34" x14ac:dyDescent="0.3">
      <c r="B34" s="93" t="s">
        <v>359</v>
      </c>
      <c r="D34" s="93" t="s">
        <v>6</v>
      </c>
      <c r="H34" s="93" t="s">
        <v>126</v>
      </c>
      <c r="I34" s="93" t="s">
        <v>358</v>
      </c>
      <c r="J34" s="93">
        <v>2512</v>
      </c>
      <c r="K34" s="93">
        <v>26874</v>
      </c>
      <c r="L34" s="93" t="s">
        <v>126</v>
      </c>
      <c r="T34" s="93">
        <v>1970</v>
      </c>
      <c r="W34" s="93" t="s">
        <v>21</v>
      </c>
      <c r="X34" s="93" t="s">
        <v>8</v>
      </c>
    </row>
    <row r="35" spans="2:34" x14ac:dyDescent="0.3">
      <c r="B35" s="93" t="s">
        <v>174</v>
      </c>
      <c r="D35" s="93" t="s">
        <v>6</v>
      </c>
      <c r="H35" s="93" t="s">
        <v>7</v>
      </c>
      <c r="I35" s="93" t="s">
        <v>175</v>
      </c>
      <c r="J35" s="93">
        <v>25593</v>
      </c>
      <c r="K35" s="93" t="s">
        <v>204</v>
      </c>
      <c r="L35" s="93" t="s">
        <v>14</v>
      </c>
      <c r="T35" s="93">
        <v>2012</v>
      </c>
      <c r="W35" s="93" t="s">
        <v>21</v>
      </c>
      <c r="X35" s="93" t="s">
        <v>176</v>
      </c>
    </row>
    <row r="36" spans="2:34" x14ac:dyDescent="0.3">
      <c r="B36" s="93" t="s">
        <v>380</v>
      </c>
      <c r="D36" s="93" t="s">
        <v>6</v>
      </c>
      <c r="H36" s="93" t="s">
        <v>21</v>
      </c>
      <c r="I36" s="93" t="s">
        <v>381</v>
      </c>
      <c r="J36" s="93">
        <v>15439</v>
      </c>
      <c r="K36" s="93">
        <v>44238</v>
      </c>
      <c r="L36" s="93" t="s">
        <v>22</v>
      </c>
      <c r="T36" s="93">
        <v>2017</v>
      </c>
      <c r="W36" s="93" t="s">
        <v>21</v>
      </c>
      <c r="X36" s="93" t="s">
        <v>8</v>
      </c>
    </row>
    <row r="37" spans="2:34" x14ac:dyDescent="0.3">
      <c r="B37" s="93" t="s">
        <v>275</v>
      </c>
      <c r="D37" s="93" t="s">
        <v>6</v>
      </c>
      <c r="H37" s="93" t="s">
        <v>271</v>
      </c>
      <c r="I37" s="93" t="s">
        <v>273</v>
      </c>
      <c r="J37" s="93">
        <v>17403</v>
      </c>
      <c r="K37" s="93" t="s">
        <v>204</v>
      </c>
      <c r="L37" s="93" t="s">
        <v>284</v>
      </c>
      <c r="T37" s="93">
        <v>2019</v>
      </c>
      <c r="W37" s="93" t="s">
        <v>21</v>
      </c>
      <c r="X37" s="93" t="s">
        <v>274</v>
      </c>
    </row>
    <row r="38" spans="2:34" x14ac:dyDescent="0.3">
      <c r="B38" s="93" t="s">
        <v>183</v>
      </c>
      <c r="D38" s="93" t="s">
        <v>6</v>
      </c>
      <c r="H38" s="93" t="s">
        <v>7</v>
      </c>
      <c r="I38" s="93" t="s">
        <v>195</v>
      </c>
      <c r="J38" s="93">
        <v>22868</v>
      </c>
      <c r="K38" s="93" t="s">
        <v>204</v>
      </c>
      <c r="L38" s="93" t="s">
        <v>182</v>
      </c>
      <c r="T38" s="93">
        <v>2016</v>
      </c>
      <c r="W38" s="93" t="s">
        <v>21</v>
      </c>
      <c r="X38" s="93" t="s">
        <v>8</v>
      </c>
      <c r="AD38" s="93" t="s">
        <v>1430</v>
      </c>
    </row>
    <row r="39" spans="2:34" x14ac:dyDescent="0.3">
      <c r="B39" s="93" t="s">
        <v>185</v>
      </c>
      <c r="D39" s="93" t="s">
        <v>6</v>
      </c>
      <c r="H39" s="93" t="s">
        <v>7</v>
      </c>
      <c r="I39" s="93" t="s">
        <v>195</v>
      </c>
      <c r="J39" s="93">
        <v>22868</v>
      </c>
      <c r="K39" s="93" t="s">
        <v>204</v>
      </c>
      <c r="L39" s="93" t="s">
        <v>182</v>
      </c>
      <c r="T39" s="93">
        <v>2013</v>
      </c>
      <c r="W39" s="93" t="s">
        <v>21</v>
      </c>
      <c r="X39" s="93" t="s">
        <v>8</v>
      </c>
      <c r="AD39" s="93" t="s">
        <v>1431</v>
      </c>
    </row>
    <row r="40" spans="2:34" x14ac:dyDescent="0.3">
      <c r="B40" s="93" t="s">
        <v>184</v>
      </c>
      <c r="D40" s="93" t="s">
        <v>6</v>
      </c>
      <c r="H40" s="93" t="s">
        <v>7</v>
      </c>
      <c r="I40" s="93" t="s">
        <v>195</v>
      </c>
      <c r="J40" s="93">
        <v>22868</v>
      </c>
      <c r="K40" s="93" t="s">
        <v>204</v>
      </c>
      <c r="L40" s="93" t="s">
        <v>182</v>
      </c>
      <c r="T40" s="93">
        <v>2014</v>
      </c>
      <c r="W40" s="93" t="s">
        <v>21</v>
      </c>
      <c r="X40" s="93" t="s">
        <v>8</v>
      </c>
      <c r="AD40" s="93" t="s">
        <v>1432</v>
      </c>
    </row>
    <row r="41" spans="2:34" x14ac:dyDescent="0.3">
      <c r="B41" s="93" t="s">
        <v>363</v>
      </c>
      <c r="D41" s="93" t="s">
        <v>6</v>
      </c>
      <c r="H41" s="93" t="s">
        <v>7</v>
      </c>
      <c r="I41" s="93" t="s">
        <v>361</v>
      </c>
      <c r="J41" s="93" t="s">
        <v>362</v>
      </c>
      <c r="K41" s="93">
        <v>8982</v>
      </c>
      <c r="L41" s="93" t="s">
        <v>13</v>
      </c>
      <c r="T41" s="93">
        <v>2000</v>
      </c>
      <c r="W41" s="93" t="s">
        <v>21</v>
      </c>
      <c r="X41" s="93" t="s">
        <v>8</v>
      </c>
    </row>
    <row r="42" spans="2:34" x14ac:dyDescent="0.3">
      <c r="B42" s="93" t="s">
        <v>364</v>
      </c>
      <c r="D42" s="93" t="s">
        <v>6</v>
      </c>
      <c r="H42" s="93" t="s">
        <v>7</v>
      </c>
      <c r="I42" s="93" t="s">
        <v>361</v>
      </c>
      <c r="J42" s="93" t="s">
        <v>362</v>
      </c>
      <c r="K42" s="93">
        <v>8982</v>
      </c>
      <c r="L42" s="93" t="s">
        <v>13</v>
      </c>
      <c r="T42" s="93">
        <v>1999</v>
      </c>
      <c r="W42" s="93" t="s">
        <v>21</v>
      </c>
      <c r="X42" s="93" t="s">
        <v>8</v>
      </c>
    </row>
    <row r="43" spans="2:34" x14ac:dyDescent="0.3">
      <c r="B43" s="93" t="s">
        <v>986</v>
      </c>
      <c r="C43" s="93" t="s">
        <v>986</v>
      </c>
      <c r="D43" s="93" t="s">
        <v>6</v>
      </c>
      <c r="E43" s="93" t="s">
        <v>81</v>
      </c>
      <c r="F43" s="93" t="s">
        <v>990</v>
      </c>
      <c r="G43" s="93">
        <v>2000</v>
      </c>
      <c r="H43" s="93" t="s">
        <v>21</v>
      </c>
      <c r="I43" s="93" t="s">
        <v>1209</v>
      </c>
      <c r="J43" s="93" t="s">
        <v>989</v>
      </c>
      <c r="K43" s="93" t="s">
        <v>204</v>
      </c>
      <c r="L43" s="93" t="s">
        <v>22</v>
      </c>
      <c r="M43" s="93" t="s">
        <v>645</v>
      </c>
      <c r="N43" s="93" t="s">
        <v>1268</v>
      </c>
      <c r="O43" s="93" t="s">
        <v>1268</v>
      </c>
      <c r="T43" s="93">
        <v>2000</v>
      </c>
      <c r="W43" s="93" t="s">
        <v>21</v>
      </c>
      <c r="X43" s="93" t="s">
        <v>152</v>
      </c>
      <c r="AB43" s="93" t="s">
        <v>988</v>
      </c>
      <c r="AC43" s="93">
        <v>117</v>
      </c>
      <c r="AG43" s="93" t="s">
        <v>987</v>
      </c>
      <c r="AH43" s="93">
        <v>9.1999999999999993</v>
      </c>
    </row>
    <row r="44" spans="2:34" x14ac:dyDescent="0.3">
      <c r="B44" s="93" t="s">
        <v>115</v>
      </c>
      <c r="D44" s="93" t="s">
        <v>6</v>
      </c>
      <c r="H44" s="93" t="s">
        <v>7</v>
      </c>
      <c r="I44" s="93" t="s">
        <v>117</v>
      </c>
      <c r="J44" s="93">
        <v>24171</v>
      </c>
      <c r="K44" s="93" t="s">
        <v>204</v>
      </c>
      <c r="L44" s="93" t="s">
        <v>14</v>
      </c>
      <c r="T44" s="93">
        <v>2019</v>
      </c>
      <c r="W44" s="93" t="s">
        <v>21</v>
      </c>
      <c r="X44" s="93" t="s">
        <v>116</v>
      </c>
    </row>
    <row r="45" spans="2:34" x14ac:dyDescent="0.3">
      <c r="B45" s="93" t="s">
        <v>239</v>
      </c>
      <c r="C45" s="93" t="s">
        <v>239</v>
      </c>
      <c r="D45" s="93" t="s">
        <v>6</v>
      </c>
      <c r="E45" s="93" t="s">
        <v>81</v>
      </c>
      <c r="F45" s="93" t="s">
        <v>974</v>
      </c>
      <c r="G45" s="93">
        <v>1886</v>
      </c>
      <c r="H45" s="93" t="s">
        <v>21</v>
      </c>
      <c r="I45" s="93" t="s">
        <v>240</v>
      </c>
      <c r="J45" s="93" t="s">
        <v>241</v>
      </c>
      <c r="K45" s="93">
        <v>2993</v>
      </c>
      <c r="L45" s="93" t="s">
        <v>22</v>
      </c>
      <c r="M45" s="93" t="s">
        <v>617</v>
      </c>
      <c r="N45" s="93" t="s">
        <v>1268</v>
      </c>
      <c r="O45" s="93" t="s">
        <v>1268</v>
      </c>
      <c r="T45" s="93">
        <v>2013</v>
      </c>
      <c r="W45" s="93" t="s">
        <v>21</v>
      </c>
      <c r="X45" s="93" t="s">
        <v>242</v>
      </c>
      <c r="AB45" s="93" t="s">
        <v>973</v>
      </c>
      <c r="AC45" s="93">
        <v>252</v>
      </c>
      <c r="AG45" s="93" t="s">
        <v>967</v>
      </c>
      <c r="AH45" s="93">
        <v>3.9</v>
      </c>
    </row>
    <row r="46" spans="2:34" x14ac:dyDescent="0.3">
      <c r="B46" s="93" t="s">
        <v>657</v>
      </c>
      <c r="C46" s="93" t="s">
        <v>658</v>
      </c>
      <c r="D46" s="93" t="s">
        <v>6</v>
      </c>
      <c r="E46" s="93" t="s">
        <v>81</v>
      </c>
      <c r="F46" s="93" t="s">
        <v>666</v>
      </c>
      <c r="G46" s="93" t="s">
        <v>663</v>
      </c>
      <c r="H46" s="93" t="s">
        <v>276</v>
      </c>
      <c r="I46" s="93" t="s">
        <v>659</v>
      </c>
      <c r="J46" s="93" t="s">
        <v>664</v>
      </c>
      <c r="K46" s="93" t="s">
        <v>665</v>
      </c>
      <c r="L46" s="93" t="s">
        <v>276</v>
      </c>
      <c r="M46" s="93" t="s">
        <v>617</v>
      </c>
      <c r="N46" s="93" t="s">
        <v>1268</v>
      </c>
      <c r="O46" s="93" t="s">
        <v>1268</v>
      </c>
      <c r="T46" s="93">
        <v>2015</v>
      </c>
      <c r="W46" s="93" t="s">
        <v>21</v>
      </c>
      <c r="X46" s="93" t="s">
        <v>277</v>
      </c>
      <c r="AB46" s="93" t="s">
        <v>661</v>
      </c>
      <c r="AC46" s="93" t="s">
        <v>662</v>
      </c>
      <c r="AG46" s="93" t="s">
        <v>660</v>
      </c>
      <c r="AH46" s="93">
        <v>25</v>
      </c>
    </row>
    <row r="47" spans="2:34" x14ac:dyDescent="0.3">
      <c r="B47" s="93" t="s">
        <v>221</v>
      </c>
      <c r="C47" s="93" t="s">
        <v>996</v>
      </c>
      <c r="D47" s="93" t="s">
        <v>6</v>
      </c>
      <c r="E47" s="93" t="s">
        <v>76</v>
      </c>
      <c r="F47" s="93" t="s">
        <v>997</v>
      </c>
      <c r="G47" s="93">
        <v>1943</v>
      </c>
      <c r="H47" s="93" t="s">
        <v>126</v>
      </c>
      <c r="I47" s="93" t="s">
        <v>222</v>
      </c>
      <c r="J47" s="93" t="s">
        <v>223</v>
      </c>
      <c r="K47" s="93">
        <v>16284</v>
      </c>
      <c r="L47" s="93" t="s">
        <v>126</v>
      </c>
      <c r="M47" s="93" t="s">
        <v>617</v>
      </c>
      <c r="N47" s="93" t="s">
        <v>1268</v>
      </c>
      <c r="O47" s="93" t="s">
        <v>1268</v>
      </c>
      <c r="T47" s="93">
        <v>2011</v>
      </c>
      <c r="W47" s="93" t="s">
        <v>21</v>
      </c>
      <c r="X47" s="93" t="s">
        <v>111</v>
      </c>
      <c r="AB47" s="93" t="s">
        <v>995</v>
      </c>
      <c r="AC47" s="93">
        <v>125</v>
      </c>
      <c r="AG47" s="93" t="s">
        <v>975</v>
      </c>
      <c r="AH47" s="93">
        <v>7.9</v>
      </c>
    </row>
    <row r="48" spans="2:34" x14ac:dyDescent="0.3">
      <c r="B48" s="93" t="s">
        <v>1044</v>
      </c>
      <c r="C48" s="93" t="s">
        <v>1049</v>
      </c>
      <c r="D48" s="93" t="s">
        <v>6</v>
      </c>
      <c r="E48" s="93" t="s">
        <v>76</v>
      </c>
      <c r="F48" s="93" t="s">
        <v>1050</v>
      </c>
      <c r="G48" s="93">
        <v>1843</v>
      </c>
      <c r="H48" s="93" t="s">
        <v>7</v>
      </c>
      <c r="I48" s="93" t="s">
        <v>1045</v>
      </c>
      <c r="J48" s="93" t="s">
        <v>1046</v>
      </c>
      <c r="K48" s="93" t="s">
        <v>1047</v>
      </c>
      <c r="L48" s="93" t="s">
        <v>13</v>
      </c>
      <c r="M48" s="93" t="s">
        <v>617</v>
      </c>
      <c r="N48" s="93" t="s">
        <v>1268</v>
      </c>
      <c r="O48" s="93" t="s">
        <v>1268</v>
      </c>
      <c r="T48" s="93">
        <v>2020</v>
      </c>
      <c r="W48" s="93" t="s">
        <v>21</v>
      </c>
      <c r="X48" s="93" t="s">
        <v>11</v>
      </c>
      <c r="AB48" s="93" t="s">
        <v>1048</v>
      </c>
      <c r="AC48" s="93">
        <v>161</v>
      </c>
      <c r="AG48" s="93" t="s">
        <v>629</v>
      </c>
      <c r="AH48" s="93">
        <v>17</v>
      </c>
    </row>
    <row r="49" spans="2:35" x14ac:dyDescent="0.3">
      <c r="B49" s="93" t="s">
        <v>33</v>
      </c>
      <c r="D49" s="93" t="s">
        <v>6</v>
      </c>
      <c r="H49" s="93" t="s">
        <v>7</v>
      </c>
      <c r="I49" s="93" t="s">
        <v>35</v>
      </c>
      <c r="J49" s="93" t="s">
        <v>198</v>
      </c>
      <c r="K49" s="93" t="s">
        <v>205</v>
      </c>
      <c r="L49" s="93" t="s">
        <v>34</v>
      </c>
      <c r="T49" s="93">
        <v>2015</v>
      </c>
      <c r="W49" s="93" t="s">
        <v>21</v>
      </c>
      <c r="X49" s="93" t="s">
        <v>8</v>
      </c>
    </row>
    <row r="50" spans="2:35" x14ac:dyDescent="0.3">
      <c r="B50" s="93" t="s">
        <v>127</v>
      </c>
      <c r="C50" s="93" t="s">
        <v>895</v>
      </c>
      <c r="D50" s="93" t="s">
        <v>6</v>
      </c>
      <c r="E50" s="93" t="s">
        <v>81</v>
      </c>
      <c r="F50" s="93" t="s">
        <v>892</v>
      </c>
      <c r="G50" s="93">
        <v>1865</v>
      </c>
      <c r="H50" s="93" t="s">
        <v>7</v>
      </c>
      <c r="I50" s="93" t="s">
        <v>1191</v>
      </c>
      <c r="J50" s="93" t="s">
        <v>199</v>
      </c>
      <c r="K50" s="93" t="s">
        <v>200</v>
      </c>
      <c r="L50" s="93" t="s">
        <v>13</v>
      </c>
      <c r="M50" s="93" t="s">
        <v>617</v>
      </c>
      <c r="N50" s="93" t="s">
        <v>1268</v>
      </c>
      <c r="O50" s="93" t="s">
        <v>1268</v>
      </c>
      <c r="T50" s="93">
        <v>2021</v>
      </c>
      <c r="W50" s="93" t="s">
        <v>21</v>
      </c>
      <c r="X50" s="93" t="s">
        <v>130</v>
      </c>
      <c r="AB50" s="93" t="s">
        <v>914</v>
      </c>
      <c r="AC50" s="93">
        <v>267</v>
      </c>
      <c r="AD50" s="93" t="s">
        <v>1433</v>
      </c>
      <c r="AG50" s="93" t="s">
        <v>909</v>
      </c>
      <c r="AH50" s="93">
        <v>29.9</v>
      </c>
    </row>
    <row r="51" spans="2:35" x14ac:dyDescent="0.3">
      <c r="B51" s="93" t="s">
        <v>129</v>
      </c>
      <c r="C51" s="93" t="s">
        <v>912</v>
      </c>
      <c r="D51" s="93" t="s">
        <v>6</v>
      </c>
      <c r="E51" s="93" t="s">
        <v>81</v>
      </c>
      <c r="F51" s="93" t="s">
        <v>913</v>
      </c>
      <c r="G51" s="93" t="s">
        <v>889</v>
      </c>
      <c r="H51" s="93" t="s">
        <v>7</v>
      </c>
      <c r="I51" s="93" t="s">
        <v>1191</v>
      </c>
      <c r="J51" s="93" t="s">
        <v>199</v>
      </c>
      <c r="K51" s="93" t="s">
        <v>200</v>
      </c>
      <c r="L51" s="93" t="s">
        <v>13</v>
      </c>
      <c r="M51" s="93" t="s">
        <v>617</v>
      </c>
      <c r="N51" s="93" t="s">
        <v>1268</v>
      </c>
      <c r="O51" s="93" t="s">
        <v>1268</v>
      </c>
      <c r="T51" s="93">
        <v>2022</v>
      </c>
      <c r="W51" s="93" t="s">
        <v>21</v>
      </c>
      <c r="X51" s="93" t="s">
        <v>130</v>
      </c>
      <c r="AB51" s="93" t="s">
        <v>910</v>
      </c>
      <c r="AC51" s="93">
        <v>285</v>
      </c>
      <c r="AD51" s="93" t="s">
        <v>1434</v>
      </c>
      <c r="AG51" s="93" t="s">
        <v>909</v>
      </c>
      <c r="AH51" s="93">
        <v>29.9</v>
      </c>
    </row>
    <row r="52" spans="2:35" x14ac:dyDescent="0.3">
      <c r="B52" s="93" t="s">
        <v>902</v>
      </c>
      <c r="C52" s="93" t="s">
        <v>895</v>
      </c>
      <c r="D52" s="93" t="s">
        <v>6</v>
      </c>
      <c r="E52" s="93" t="s">
        <v>81</v>
      </c>
      <c r="F52" s="93" t="s">
        <v>892</v>
      </c>
      <c r="G52" s="93">
        <v>1865</v>
      </c>
      <c r="H52" s="93" t="s">
        <v>7</v>
      </c>
      <c r="I52" s="93" t="s">
        <v>1191</v>
      </c>
      <c r="J52" s="93" t="s">
        <v>199</v>
      </c>
      <c r="K52" s="93" t="s">
        <v>200</v>
      </c>
      <c r="L52" s="93" t="s">
        <v>13</v>
      </c>
      <c r="M52" s="93" t="s">
        <v>617</v>
      </c>
      <c r="N52" s="93" t="s">
        <v>1268</v>
      </c>
      <c r="O52" s="93" t="s">
        <v>1268</v>
      </c>
      <c r="T52" s="93">
        <v>2006</v>
      </c>
      <c r="W52" s="93" t="s">
        <v>904</v>
      </c>
      <c r="X52" s="93" t="s">
        <v>905</v>
      </c>
      <c r="AB52" s="93" t="s">
        <v>906</v>
      </c>
      <c r="AC52" s="93">
        <v>160</v>
      </c>
      <c r="AG52" s="93" t="s">
        <v>903</v>
      </c>
      <c r="AH52" s="93">
        <v>2.8334000000000001</v>
      </c>
      <c r="AI52" s="93" t="s">
        <v>908</v>
      </c>
    </row>
    <row r="53" spans="2:35" x14ac:dyDescent="0.3">
      <c r="B53" s="93" t="s">
        <v>127</v>
      </c>
      <c r="C53" s="93" t="s">
        <v>895</v>
      </c>
      <c r="D53" s="93" t="s">
        <v>6</v>
      </c>
      <c r="E53" s="93" t="s">
        <v>81</v>
      </c>
      <c r="F53" s="93" t="s">
        <v>892</v>
      </c>
      <c r="G53" s="93">
        <v>1865</v>
      </c>
      <c r="H53" s="93" t="s">
        <v>7</v>
      </c>
      <c r="I53" s="93" t="s">
        <v>1191</v>
      </c>
      <c r="J53" s="93" t="s">
        <v>199</v>
      </c>
      <c r="K53" s="93" t="s">
        <v>200</v>
      </c>
      <c r="L53" s="93" t="s">
        <v>13</v>
      </c>
      <c r="M53" s="93" t="s">
        <v>617</v>
      </c>
      <c r="N53" s="93" t="s">
        <v>1268</v>
      </c>
      <c r="O53" s="93" t="s">
        <v>1268</v>
      </c>
      <c r="T53" s="93">
        <v>2013</v>
      </c>
      <c r="W53" s="93" t="s">
        <v>21</v>
      </c>
      <c r="X53" s="93" t="s">
        <v>20</v>
      </c>
      <c r="AB53" s="93" t="s">
        <v>894</v>
      </c>
      <c r="AC53" s="93">
        <v>145</v>
      </c>
      <c r="AG53" s="93" t="s">
        <v>967</v>
      </c>
      <c r="AH53" s="93">
        <v>3.9</v>
      </c>
    </row>
    <row r="54" spans="2:35" x14ac:dyDescent="0.3">
      <c r="B54" s="93" t="s">
        <v>884</v>
      </c>
      <c r="C54" s="93" t="s">
        <v>888</v>
      </c>
      <c r="D54" s="93" t="s">
        <v>6</v>
      </c>
      <c r="E54" s="93" t="s">
        <v>81</v>
      </c>
      <c r="F54" s="93" t="s">
        <v>913</v>
      </c>
      <c r="G54" s="93" t="s">
        <v>889</v>
      </c>
      <c r="H54" s="93" t="s">
        <v>7</v>
      </c>
      <c r="I54" s="93" t="s">
        <v>1191</v>
      </c>
      <c r="J54" s="93" t="s">
        <v>199</v>
      </c>
      <c r="K54" s="93" t="s">
        <v>200</v>
      </c>
      <c r="L54" s="93" t="s">
        <v>13</v>
      </c>
      <c r="M54" s="93" t="s">
        <v>617</v>
      </c>
      <c r="N54" s="93" t="s">
        <v>1268</v>
      </c>
      <c r="O54" s="93" t="s">
        <v>1268</v>
      </c>
      <c r="T54" s="93">
        <v>2011</v>
      </c>
      <c r="W54" s="93" t="s">
        <v>7</v>
      </c>
      <c r="X54" s="93" t="s">
        <v>886</v>
      </c>
      <c r="AB54" s="93" t="s">
        <v>887</v>
      </c>
      <c r="AC54" s="93">
        <v>286</v>
      </c>
      <c r="AG54" s="93" t="s">
        <v>885</v>
      </c>
      <c r="AH54" s="93">
        <v>14.6782</v>
      </c>
      <c r="AI54" s="93" t="s">
        <v>907</v>
      </c>
    </row>
    <row r="55" spans="2:35" x14ac:dyDescent="0.3">
      <c r="B55" s="93" t="s">
        <v>128</v>
      </c>
      <c r="C55" s="93" t="s">
        <v>1214</v>
      </c>
      <c r="D55" s="93" t="s">
        <v>6</v>
      </c>
      <c r="E55" s="93" t="s">
        <v>81</v>
      </c>
      <c r="F55" s="93" t="s">
        <v>893</v>
      </c>
      <c r="G55" s="93" t="s">
        <v>911</v>
      </c>
      <c r="H55" s="93" t="s">
        <v>7</v>
      </c>
      <c r="I55" s="93" t="s">
        <v>1191</v>
      </c>
      <c r="J55" s="93" t="s">
        <v>199</v>
      </c>
      <c r="K55" s="93" t="s">
        <v>200</v>
      </c>
      <c r="L55" s="93" t="s">
        <v>13</v>
      </c>
      <c r="M55" s="93" t="s">
        <v>617</v>
      </c>
      <c r="N55" s="93" t="s">
        <v>1268</v>
      </c>
      <c r="O55" s="93" t="s">
        <v>1268</v>
      </c>
      <c r="T55" s="93">
        <v>2006</v>
      </c>
      <c r="W55" s="93" t="s">
        <v>21</v>
      </c>
      <c r="X55" s="93" t="s">
        <v>11</v>
      </c>
      <c r="AB55" s="93" t="s">
        <v>891</v>
      </c>
      <c r="AC55" s="93">
        <v>437</v>
      </c>
      <c r="AG55" s="93" t="s">
        <v>890</v>
      </c>
      <c r="AH55" s="93">
        <v>11.5</v>
      </c>
    </row>
    <row r="56" spans="2:35" x14ac:dyDescent="0.3">
      <c r="B56" s="93" t="s">
        <v>127</v>
      </c>
      <c r="C56" s="93" t="s">
        <v>899</v>
      </c>
      <c r="D56" s="93" t="s">
        <v>6</v>
      </c>
      <c r="E56" s="93" t="s">
        <v>81</v>
      </c>
      <c r="F56" s="93" t="s">
        <v>901</v>
      </c>
      <c r="G56" s="93" t="s">
        <v>900</v>
      </c>
      <c r="H56" s="93" t="s">
        <v>7</v>
      </c>
      <c r="I56" s="93" t="s">
        <v>1192</v>
      </c>
      <c r="J56" s="93" t="s">
        <v>898</v>
      </c>
      <c r="K56" s="93" t="s">
        <v>897</v>
      </c>
      <c r="L56" s="93" t="s">
        <v>149</v>
      </c>
      <c r="M56" s="93" t="s">
        <v>799</v>
      </c>
      <c r="N56" s="93" t="s">
        <v>1269</v>
      </c>
      <c r="O56" s="93" t="s">
        <v>1269</v>
      </c>
      <c r="T56" s="93">
        <v>2015</v>
      </c>
      <c r="W56" s="93" t="s">
        <v>21</v>
      </c>
      <c r="X56" s="93" t="s">
        <v>11</v>
      </c>
      <c r="AB56" s="93" t="s">
        <v>896</v>
      </c>
      <c r="AC56" s="93">
        <v>363</v>
      </c>
      <c r="AG56" s="93" t="s">
        <v>633</v>
      </c>
      <c r="AH56" s="93">
        <v>16</v>
      </c>
    </row>
    <row r="57" spans="2:35" x14ac:dyDescent="0.3">
      <c r="B57" s="93" t="s">
        <v>288</v>
      </c>
      <c r="C57" s="93" t="s">
        <v>805</v>
      </c>
      <c r="D57" s="93" t="s">
        <v>6</v>
      </c>
      <c r="E57" s="93" t="s">
        <v>76</v>
      </c>
      <c r="F57" s="93" t="s">
        <v>806</v>
      </c>
      <c r="G57" s="93" t="s">
        <v>804</v>
      </c>
      <c r="H57" s="93" t="s">
        <v>254</v>
      </c>
      <c r="I57" s="93" t="s">
        <v>287</v>
      </c>
      <c r="J57" s="93" t="s">
        <v>290</v>
      </c>
      <c r="K57" s="93" t="s">
        <v>291</v>
      </c>
      <c r="L57" s="93" t="s">
        <v>255</v>
      </c>
      <c r="M57" s="93" t="s">
        <v>617</v>
      </c>
      <c r="N57" s="93" t="s">
        <v>1268</v>
      </c>
      <c r="O57" s="93" t="s">
        <v>1268</v>
      </c>
      <c r="T57" s="93">
        <v>2015</v>
      </c>
      <c r="W57" s="93" t="s">
        <v>21</v>
      </c>
      <c r="X57" s="93" t="s">
        <v>159</v>
      </c>
      <c r="AB57" s="93" t="s">
        <v>803</v>
      </c>
      <c r="AC57" s="93">
        <v>164</v>
      </c>
      <c r="AG57" s="93" t="s">
        <v>802</v>
      </c>
      <c r="AH57" s="93">
        <v>8.5</v>
      </c>
    </row>
    <row r="58" spans="2:35" x14ac:dyDescent="0.3">
      <c r="B58" s="93" t="s">
        <v>321</v>
      </c>
      <c r="D58" s="93" t="s">
        <v>6</v>
      </c>
      <c r="H58" s="93" t="s">
        <v>126</v>
      </c>
      <c r="I58" s="93" t="s">
        <v>1193</v>
      </c>
      <c r="J58" s="93" t="s">
        <v>210</v>
      </c>
      <c r="K58" s="93" t="s">
        <v>211</v>
      </c>
      <c r="L58" s="93" t="s">
        <v>126</v>
      </c>
      <c r="T58" s="93">
        <v>2001</v>
      </c>
      <c r="W58" s="93" t="s">
        <v>21</v>
      </c>
      <c r="X58" s="93" t="s">
        <v>322</v>
      </c>
    </row>
    <row r="59" spans="2:35" x14ac:dyDescent="0.3">
      <c r="B59" s="93" t="s">
        <v>401</v>
      </c>
      <c r="D59" s="93" t="s">
        <v>6</v>
      </c>
      <c r="H59" s="93" t="s">
        <v>126</v>
      </c>
      <c r="I59" s="93" t="s">
        <v>1193</v>
      </c>
      <c r="J59" s="93" t="s">
        <v>210</v>
      </c>
      <c r="K59" s="93" t="s">
        <v>211</v>
      </c>
      <c r="L59" s="93" t="s">
        <v>126</v>
      </c>
      <c r="T59" s="93">
        <v>2019</v>
      </c>
      <c r="W59" s="93" t="s">
        <v>21</v>
      </c>
      <c r="X59" s="93" t="s">
        <v>11</v>
      </c>
    </row>
    <row r="60" spans="2:35" x14ac:dyDescent="0.3">
      <c r="B60" s="93" t="s">
        <v>186</v>
      </c>
      <c r="C60" s="93" t="s">
        <v>993</v>
      </c>
      <c r="D60" s="93" t="s">
        <v>6</v>
      </c>
      <c r="E60" s="93" t="s">
        <v>81</v>
      </c>
      <c r="F60" s="93" t="s">
        <v>994</v>
      </c>
      <c r="G60" s="93">
        <v>1872</v>
      </c>
      <c r="H60" s="93" t="s">
        <v>126</v>
      </c>
      <c r="I60" s="93" t="s">
        <v>1193</v>
      </c>
      <c r="J60" s="93" t="s">
        <v>210</v>
      </c>
      <c r="K60" s="93" t="s">
        <v>211</v>
      </c>
      <c r="L60" s="93" t="s">
        <v>126</v>
      </c>
      <c r="M60" s="93" t="s">
        <v>617</v>
      </c>
      <c r="N60" s="93" t="s">
        <v>1268</v>
      </c>
      <c r="O60" s="93" t="s">
        <v>1268</v>
      </c>
      <c r="T60" s="93">
        <v>2020</v>
      </c>
      <c r="W60" s="93" t="s">
        <v>21</v>
      </c>
      <c r="X60" s="93" t="s">
        <v>187</v>
      </c>
      <c r="AB60" s="93" t="s">
        <v>992</v>
      </c>
      <c r="AC60" s="93">
        <v>318</v>
      </c>
      <c r="AG60" s="93" t="s">
        <v>991</v>
      </c>
      <c r="AH60" s="93">
        <v>8.9</v>
      </c>
    </row>
    <row r="61" spans="2:35" x14ac:dyDescent="0.3">
      <c r="B61" s="93" t="s">
        <v>40</v>
      </c>
      <c r="D61" s="93" t="s">
        <v>6</v>
      </c>
      <c r="H61" s="93" t="s">
        <v>7</v>
      </c>
      <c r="I61" s="93" t="s">
        <v>42</v>
      </c>
      <c r="J61" s="93" t="s">
        <v>201</v>
      </c>
      <c r="K61" s="93">
        <v>16667</v>
      </c>
      <c r="L61" s="93" t="s">
        <v>13</v>
      </c>
      <c r="T61" s="93">
        <v>2015</v>
      </c>
      <c r="W61" s="93" t="s">
        <v>21</v>
      </c>
      <c r="X61" s="93" t="s">
        <v>41</v>
      </c>
    </row>
    <row r="62" spans="2:35" x14ac:dyDescent="0.3">
      <c r="B62" s="93" t="s">
        <v>44</v>
      </c>
      <c r="D62" s="93" t="s">
        <v>6</v>
      </c>
      <c r="H62" s="93" t="s">
        <v>49</v>
      </c>
      <c r="I62" s="93" t="s">
        <v>45</v>
      </c>
      <c r="J62" s="93">
        <v>10909</v>
      </c>
      <c r="K62" s="93">
        <v>34939</v>
      </c>
      <c r="L62" s="93" t="s">
        <v>46</v>
      </c>
      <c r="T62" s="93">
        <v>2009</v>
      </c>
      <c r="W62" s="93" t="s">
        <v>21</v>
      </c>
      <c r="X62" s="93" t="s">
        <v>47</v>
      </c>
    </row>
    <row r="63" spans="2:35" x14ac:dyDescent="0.3">
      <c r="B63" s="93" t="s">
        <v>1014</v>
      </c>
      <c r="C63" s="93" t="s">
        <v>1020</v>
      </c>
      <c r="D63" s="93" t="s">
        <v>6</v>
      </c>
      <c r="E63" s="93" t="s">
        <v>78</v>
      </c>
      <c r="F63" s="93" t="s">
        <v>1021</v>
      </c>
      <c r="G63" s="93" t="s">
        <v>1041</v>
      </c>
      <c r="H63" s="93" t="s">
        <v>427</v>
      </c>
      <c r="I63" s="93" t="s">
        <v>1017</v>
      </c>
      <c r="J63" s="93" t="s">
        <v>1018</v>
      </c>
      <c r="K63" s="93" t="s">
        <v>1019</v>
      </c>
      <c r="L63" s="93" t="s">
        <v>1016</v>
      </c>
      <c r="M63" s="93" t="s">
        <v>799</v>
      </c>
      <c r="N63" s="93" t="s">
        <v>1269</v>
      </c>
      <c r="O63" s="93" t="s">
        <v>1269</v>
      </c>
      <c r="T63" s="93">
        <v>2008</v>
      </c>
      <c r="W63" s="93" t="s">
        <v>21</v>
      </c>
      <c r="X63" s="93" t="s">
        <v>11</v>
      </c>
      <c r="AB63" s="93" t="s">
        <v>1015</v>
      </c>
      <c r="AC63" s="93">
        <v>1618</v>
      </c>
      <c r="AG63" s="93" t="s">
        <v>633</v>
      </c>
      <c r="AH63" s="93">
        <v>16</v>
      </c>
    </row>
    <row r="64" spans="2:35" x14ac:dyDescent="0.3">
      <c r="B64" s="93" t="s">
        <v>959</v>
      </c>
      <c r="C64" s="93" t="s">
        <v>961</v>
      </c>
      <c r="D64" s="93" t="s">
        <v>6</v>
      </c>
      <c r="E64" s="93" t="s">
        <v>605</v>
      </c>
      <c r="F64" s="93" t="s">
        <v>966</v>
      </c>
      <c r="G64" s="93" t="s">
        <v>965</v>
      </c>
      <c r="H64" s="93" t="s">
        <v>427</v>
      </c>
      <c r="I64" s="93" t="s">
        <v>962</v>
      </c>
      <c r="J64" s="93" t="s">
        <v>964</v>
      </c>
      <c r="K64" s="93" t="s">
        <v>963</v>
      </c>
      <c r="L64" s="93" t="s">
        <v>426</v>
      </c>
      <c r="M64" s="93" t="s">
        <v>617</v>
      </c>
      <c r="N64" s="93" t="s">
        <v>1268</v>
      </c>
      <c r="O64" s="93" t="s">
        <v>1268</v>
      </c>
      <c r="T64" s="93">
        <v>2016</v>
      </c>
      <c r="W64" s="93" t="s">
        <v>21</v>
      </c>
      <c r="X64" s="93" t="s">
        <v>11</v>
      </c>
      <c r="AB64" s="93" t="s">
        <v>960</v>
      </c>
      <c r="AC64" s="93">
        <v>254</v>
      </c>
      <c r="AG64" s="93" t="s">
        <v>629</v>
      </c>
      <c r="AH64" s="93">
        <v>17</v>
      </c>
    </row>
    <row r="65" spans="2:38" x14ac:dyDescent="0.3">
      <c r="B65" s="93" t="s">
        <v>1403</v>
      </c>
      <c r="C65" s="93" t="s">
        <v>1408</v>
      </c>
      <c r="D65" s="93" t="s">
        <v>82</v>
      </c>
      <c r="E65" s="93" t="s">
        <v>84</v>
      </c>
      <c r="F65" s="93" t="s">
        <v>1413</v>
      </c>
      <c r="G65" s="93">
        <v>2022</v>
      </c>
      <c r="H65" s="93" t="s">
        <v>7</v>
      </c>
      <c r="I65" s="93" t="s">
        <v>1409</v>
      </c>
      <c r="J65" s="93" t="s">
        <v>1410</v>
      </c>
      <c r="K65" s="93" t="s">
        <v>219</v>
      </c>
      <c r="L65" s="93" t="s">
        <v>1386</v>
      </c>
      <c r="M65" s="93" t="s">
        <v>1411</v>
      </c>
      <c r="N65" s="93" t="s">
        <v>1387</v>
      </c>
      <c r="O65" s="93" t="s">
        <v>1387</v>
      </c>
      <c r="P65" s="93" t="s">
        <v>1407</v>
      </c>
      <c r="R65" s="93" t="s">
        <v>1406</v>
      </c>
      <c r="S65" s="93" t="s">
        <v>1412</v>
      </c>
      <c r="T65" s="93">
        <v>2022</v>
      </c>
      <c r="U65" s="93">
        <v>2022</v>
      </c>
      <c r="W65" s="93" t="s">
        <v>21</v>
      </c>
      <c r="X65" s="93" t="s">
        <v>1399</v>
      </c>
      <c r="Y65" s="93" t="s">
        <v>1259</v>
      </c>
      <c r="AB65" s="93" t="s">
        <v>1405</v>
      </c>
      <c r="AC65" s="93">
        <v>514</v>
      </c>
      <c r="AE65" s="93" t="s">
        <v>1090</v>
      </c>
      <c r="AF65" s="93" t="s">
        <v>1178</v>
      </c>
      <c r="AG65" s="93" t="s">
        <v>1404</v>
      </c>
      <c r="AH65" s="93">
        <v>19.899999999999999</v>
      </c>
      <c r="AL65" s="93" t="s">
        <v>1229</v>
      </c>
    </row>
    <row r="66" spans="2:38" x14ac:dyDescent="0.3">
      <c r="B66" s="93" t="s">
        <v>344</v>
      </c>
      <c r="D66" s="93" t="s">
        <v>6</v>
      </c>
      <c r="H66" s="93" t="s">
        <v>21</v>
      </c>
      <c r="I66" s="93" t="s">
        <v>1425</v>
      </c>
      <c r="J66" s="93" t="s">
        <v>342</v>
      </c>
      <c r="K66" s="93" t="s">
        <v>204</v>
      </c>
      <c r="L66" s="93" t="s">
        <v>22</v>
      </c>
      <c r="T66" s="93">
        <v>2011</v>
      </c>
      <c r="W66" s="93" t="s">
        <v>21</v>
      </c>
      <c r="X66" s="93" t="s">
        <v>343</v>
      </c>
      <c r="AD66" s="93" t="s">
        <v>1426</v>
      </c>
    </row>
    <row r="67" spans="2:38" x14ac:dyDescent="0.3">
      <c r="B67" s="93" t="s">
        <v>345</v>
      </c>
      <c r="D67" s="93" t="s">
        <v>6</v>
      </c>
      <c r="H67" s="93" t="s">
        <v>21</v>
      </c>
      <c r="I67" s="93" t="s">
        <v>1425</v>
      </c>
      <c r="J67" s="93" t="s">
        <v>342</v>
      </c>
      <c r="K67" s="93" t="s">
        <v>204</v>
      </c>
      <c r="L67" s="93" t="s">
        <v>22</v>
      </c>
      <c r="T67" s="93">
        <v>2012</v>
      </c>
      <c r="W67" s="93" t="s">
        <v>21</v>
      </c>
      <c r="X67" s="93" t="s">
        <v>343</v>
      </c>
      <c r="AD67" s="93" t="s">
        <v>1427</v>
      </c>
    </row>
    <row r="68" spans="2:38" x14ac:dyDescent="0.3">
      <c r="B68" s="93" t="s">
        <v>346</v>
      </c>
      <c r="D68" s="93" t="s">
        <v>6</v>
      </c>
      <c r="H68" s="93" t="s">
        <v>21</v>
      </c>
      <c r="I68" s="93" t="s">
        <v>1425</v>
      </c>
      <c r="J68" s="93" t="s">
        <v>342</v>
      </c>
      <c r="K68" s="93" t="s">
        <v>204</v>
      </c>
      <c r="L68" s="93" t="s">
        <v>22</v>
      </c>
      <c r="T68" s="93">
        <v>2013</v>
      </c>
      <c r="W68" s="93" t="s">
        <v>21</v>
      </c>
      <c r="X68" s="93" t="s">
        <v>343</v>
      </c>
      <c r="AD68" s="93" t="s">
        <v>1429</v>
      </c>
    </row>
    <row r="69" spans="2:38" x14ac:dyDescent="0.3">
      <c r="B69" s="93" t="s">
        <v>347</v>
      </c>
      <c r="D69" s="93" t="s">
        <v>6</v>
      </c>
      <c r="H69" s="93" t="s">
        <v>21</v>
      </c>
      <c r="I69" s="93" t="s">
        <v>1425</v>
      </c>
      <c r="J69" s="93" t="s">
        <v>342</v>
      </c>
      <c r="K69" s="93" t="s">
        <v>204</v>
      </c>
      <c r="L69" s="93" t="s">
        <v>22</v>
      </c>
      <c r="T69" s="93">
        <v>2014</v>
      </c>
      <c r="W69" s="93" t="s">
        <v>21</v>
      </c>
      <c r="X69" s="93" t="s">
        <v>343</v>
      </c>
      <c r="AD69" s="93" t="s">
        <v>1428</v>
      </c>
    </row>
    <row r="70" spans="2:38" x14ac:dyDescent="0.3">
      <c r="B70" s="93" t="s">
        <v>310</v>
      </c>
      <c r="D70" s="93" t="s">
        <v>6</v>
      </c>
      <c r="H70" s="93" t="s">
        <v>7</v>
      </c>
      <c r="I70" s="93" t="s">
        <v>311</v>
      </c>
      <c r="J70" s="93" t="s">
        <v>312</v>
      </c>
      <c r="K70" s="93">
        <v>14966</v>
      </c>
      <c r="L70" s="93" t="s">
        <v>14</v>
      </c>
      <c r="T70" s="93">
        <v>2011</v>
      </c>
      <c r="W70" s="93" t="s">
        <v>21</v>
      </c>
      <c r="X70" s="93" t="s">
        <v>159</v>
      </c>
    </row>
    <row r="71" spans="2:38" x14ac:dyDescent="0.3">
      <c r="B71" s="93" t="s">
        <v>408</v>
      </c>
      <c r="D71" s="93" t="s">
        <v>6</v>
      </c>
      <c r="H71" s="93" t="s">
        <v>126</v>
      </c>
      <c r="I71" s="93" t="s">
        <v>409</v>
      </c>
      <c r="J71" s="93" t="s">
        <v>410</v>
      </c>
      <c r="K71" s="93" t="s">
        <v>411</v>
      </c>
      <c r="L71" s="93" t="s">
        <v>126</v>
      </c>
      <c r="T71" s="93">
        <v>2014</v>
      </c>
      <c r="W71" s="93" t="s">
        <v>21</v>
      </c>
      <c r="X71" s="93" t="s">
        <v>15</v>
      </c>
    </row>
    <row r="72" spans="2:38" x14ac:dyDescent="0.3">
      <c r="B72" s="93" t="s">
        <v>1355</v>
      </c>
      <c r="C72" s="93" t="s">
        <v>1355</v>
      </c>
      <c r="D72" s="93" t="s">
        <v>82</v>
      </c>
      <c r="E72" s="93" t="s">
        <v>84</v>
      </c>
      <c r="F72" s="93" t="s">
        <v>1365</v>
      </c>
      <c r="G72" s="93">
        <v>2011</v>
      </c>
      <c r="H72" s="93" t="s">
        <v>21</v>
      </c>
      <c r="I72" s="93" t="s">
        <v>1363</v>
      </c>
      <c r="J72" s="93" t="s">
        <v>1364</v>
      </c>
      <c r="K72" s="93" t="s">
        <v>205</v>
      </c>
      <c r="L72" s="93" t="s">
        <v>1362</v>
      </c>
      <c r="M72" s="93" t="s">
        <v>1361</v>
      </c>
      <c r="N72" s="93" t="s">
        <v>1269</v>
      </c>
      <c r="O72" s="93" t="s">
        <v>1269</v>
      </c>
      <c r="T72" s="93">
        <v>2011</v>
      </c>
      <c r="U72" s="93">
        <v>2017</v>
      </c>
      <c r="V72" s="93" t="s">
        <v>1360</v>
      </c>
      <c r="W72" s="93" t="s">
        <v>21</v>
      </c>
      <c r="X72" s="93" t="s">
        <v>1357</v>
      </c>
      <c r="Y72" s="93" t="s">
        <v>1300</v>
      </c>
      <c r="Z72" s="93" t="s">
        <v>1358</v>
      </c>
      <c r="AA72" s="93">
        <v>655</v>
      </c>
      <c r="AB72" s="93" t="s">
        <v>1359</v>
      </c>
      <c r="AC72" s="93">
        <v>414</v>
      </c>
      <c r="AE72" s="93" t="s">
        <v>1090</v>
      </c>
      <c r="AF72" s="93" t="s">
        <v>1178</v>
      </c>
      <c r="AG72" s="93" t="s">
        <v>1356</v>
      </c>
      <c r="AH72" s="93">
        <v>41</v>
      </c>
      <c r="AL72" s="93" t="s">
        <v>1229</v>
      </c>
    </row>
    <row r="73" spans="2:38" x14ac:dyDescent="0.3">
      <c r="B73" s="93" t="s">
        <v>155</v>
      </c>
      <c r="D73" s="93" t="s">
        <v>6</v>
      </c>
      <c r="H73" s="93" t="s">
        <v>21</v>
      </c>
      <c r="I73" s="93" t="s">
        <v>156</v>
      </c>
      <c r="J73" s="93" t="s">
        <v>202</v>
      </c>
      <c r="K73" s="93">
        <v>42695</v>
      </c>
      <c r="L73" s="93" t="s">
        <v>22</v>
      </c>
      <c r="T73" s="93">
        <v>2005</v>
      </c>
      <c r="W73" s="93" t="s">
        <v>21</v>
      </c>
      <c r="X73" s="93" t="s">
        <v>157</v>
      </c>
    </row>
    <row r="74" spans="2:38" x14ac:dyDescent="0.3">
      <c r="B74" s="93" t="s">
        <v>50</v>
      </c>
      <c r="D74" s="93" t="s">
        <v>6</v>
      </c>
      <c r="H74" s="93" t="s">
        <v>21</v>
      </c>
      <c r="I74" s="93" t="s">
        <v>51</v>
      </c>
      <c r="J74" s="93" t="s">
        <v>202</v>
      </c>
      <c r="K74" s="93" t="s">
        <v>204</v>
      </c>
      <c r="L74" s="93" t="s">
        <v>22</v>
      </c>
      <c r="T74" s="93">
        <v>2015</v>
      </c>
      <c r="W74" s="93" t="s">
        <v>21</v>
      </c>
      <c r="X74" s="93" t="s">
        <v>48</v>
      </c>
    </row>
    <row r="75" spans="2:38" x14ac:dyDescent="0.3">
      <c r="B75" s="93" t="s">
        <v>870</v>
      </c>
      <c r="C75" s="93" t="s">
        <v>870</v>
      </c>
      <c r="D75" s="93" t="s">
        <v>6</v>
      </c>
      <c r="E75" s="93" t="s">
        <v>81</v>
      </c>
      <c r="F75" s="93" t="s">
        <v>873</v>
      </c>
      <c r="G75" s="93">
        <v>1963</v>
      </c>
      <c r="H75" s="93" t="s">
        <v>21</v>
      </c>
      <c r="I75" s="93" t="s">
        <v>872</v>
      </c>
      <c r="J75" s="93">
        <v>6040</v>
      </c>
      <c r="K75" s="93">
        <v>33519</v>
      </c>
      <c r="L75" s="93" t="s">
        <v>22</v>
      </c>
      <c r="M75" s="93" t="s">
        <v>645</v>
      </c>
      <c r="N75" s="93" t="s">
        <v>1268</v>
      </c>
      <c r="O75" s="93" t="s">
        <v>1268</v>
      </c>
      <c r="T75" s="93">
        <v>1992</v>
      </c>
      <c r="W75" s="93" t="s">
        <v>21</v>
      </c>
      <c r="X75" s="93" t="s">
        <v>871</v>
      </c>
      <c r="AC75" s="93">
        <v>218</v>
      </c>
    </row>
    <row r="76" spans="2:38" x14ac:dyDescent="0.3">
      <c r="B76" s="93" t="s">
        <v>245</v>
      </c>
      <c r="D76" s="93" t="s">
        <v>6</v>
      </c>
      <c r="H76" s="93" t="s">
        <v>7</v>
      </c>
      <c r="I76" s="93" t="s">
        <v>244</v>
      </c>
      <c r="J76" s="93">
        <v>4280</v>
      </c>
      <c r="K76" s="93">
        <v>34139</v>
      </c>
      <c r="L76" s="93" t="s">
        <v>226</v>
      </c>
      <c r="T76" s="93">
        <v>2016</v>
      </c>
      <c r="W76" s="93" t="s">
        <v>21</v>
      </c>
      <c r="X76" s="93" t="s">
        <v>8</v>
      </c>
    </row>
    <row r="77" spans="2:38" x14ac:dyDescent="0.3">
      <c r="B77" s="93" t="s">
        <v>845</v>
      </c>
      <c r="C77" s="93" t="s">
        <v>846</v>
      </c>
      <c r="D77" s="93" t="s">
        <v>106</v>
      </c>
      <c r="E77" s="93" t="s">
        <v>109</v>
      </c>
      <c r="F77" s="93" t="s">
        <v>848</v>
      </c>
      <c r="G77" s="93" t="s">
        <v>847</v>
      </c>
      <c r="H77" s="93" t="s">
        <v>844</v>
      </c>
      <c r="I77" s="93" t="s">
        <v>840</v>
      </c>
      <c r="J77" s="93" t="s">
        <v>841</v>
      </c>
      <c r="K77" s="93" t="s">
        <v>842</v>
      </c>
      <c r="L77" s="93" t="s">
        <v>22</v>
      </c>
      <c r="M77" s="93" t="s">
        <v>617</v>
      </c>
      <c r="N77" s="93" t="s">
        <v>1268</v>
      </c>
      <c r="O77" s="93" t="s">
        <v>1268</v>
      </c>
      <c r="T77" s="93">
        <v>1993</v>
      </c>
      <c r="W77" s="93" t="s">
        <v>843</v>
      </c>
      <c r="X77" s="93" t="s">
        <v>159</v>
      </c>
      <c r="AB77" s="93" t="s">
        <v>838</v>
      </c>
      <c r="AC77" s="93">
        <v>301</v>
      </c>
      <c r="AG77" s="93" t="s">
        <v>669</v>
      </c>
      <c r="AH77" s="93">
        <v>9</v>
      </c>
    </row>
    <row r="78" spans="2:38" x14ac:dyDescent="0.3">
      <c r="B78" s="93" t="s">
        <v>168</v>
      </c>
      <c r="D78" s="93" t="s">
        <v>6</v>
      </c>
      <c r="H78" s="93" t="s">
        <v>7</v>
      </c>
      <c r="I78" s="93" t="s">
        <v>165</v>
      </c>
      <c r="J78" s="93">
        <v>28361</v>
      </c>
      <c r="K78" s="93" t="s">
        <v>204</v>
      </c>
      <c r="L78" s="93" t="s">
        <v>14</v>
      </c>
      <c r="T78" s="93">
        <v>2016</v>
      </c>
      <c r="W78" s="93" t="s">
        <v>21</v>
      </c>
      <c r="X78" s="93" t="s">
        <v>166</v>
      </c>
    </row>
    <row r="79" spans="2:38" x14ac:dyDescent="0.3">
      <c r="B79" s="93" t="s">
        <v>167</v>
      </c>
      <c r="D79" s="93" t="s">
        <v>6</v>
      </c>
      <c r="H79" s="93" t="s">
        <v>7</v>
      </c>
      <c r="I79" s="93" t="s">
        <v>165</v>
      </c>
      <c r="J79" s="93">
        <v>28361</v>
      </c>
      <c r="K79" s="93" t="s">
        <v>204</v>
      </c>
      <c r="L79" s="93" t="s">
        <v>14</v>
      </c>
      <c r="T79" s="93">
        <v>2015</v>
      </c>
      <c r="W79" s="93" t="s">
        <v>21</v>
      </c>
      <c r="X79" s="93" t="s">
        <v>166</v>
      </c>
    </row>
    <row r="80" spans="2:38" x14ac:dyDescent="0.3">
      <c r="B80" s="93" t="s">
        <v>934</v>
      </c>
      <c r="C80" s="93" t="s">
        <v>940</v>
      </c>
      <c r="D80" s="93" t="s">
        <v>6</v>
      </c>
      <c r="E80" s="93" t="s">
        <v>77</v>
      </c>
      <c r="F80" s="93" t="s">
        <v>944</v>
      </c>
      <c r="G80" s="93" t="s">
        <v>941</v>
      </c>
      <c r="H80" s="93" t="s">
        <v>49</v>
      </c>
      <c r="I80" s="93" t="s">
        <v>938</v>
      </c>
      <c r="J80" s="93" t="s">
        <v>942</v>
      </c>
      <c r="K80" s="93" t="s">
        <v>943</v>
      </c>
      <c r="L80" s="93" t="s">
        <v>939</v>
      </c>
      <c r="M80" s="93" t="s">
        <v>799</v>
      </c>
      <c r="N80" s="93" t="s">
        <v>1269</v>
      </c>
      <c r="O80" s="93" t="s">
        <v>1269</v>
      </c>
      <c r="T80" s="93">
        <v>2015</v>
      </c>
      <c r="W80" s="93" t="s">
        <v>21</v>
      </c>
      <c r="X80" s="93" t="s">
        <v>937</v>
      </c>
      <c r="AB80" s="93" t="s">
        <v>936</v>
      </c>
      <c r="AC80" s="93">
        <v>667</v>
      </c>
      <c r="AG80" s="93" t="s">
        <v>935</v>
      </c>
      <c r="AH80" s="93">
        <v>35</v>
      </c>
    </row>
    <row r="81" spans="2:38" x14ac:dyDescent="0.3">
      <c r="B81" s="93" t="s">
        <v>235</v>
      </c>
      <c r="D81" s="93" t="s">
        <v>6</v>
      </c>
      <c r="H81" s="93" t="s">
        <v>7</v>
      </c>
      <c r="I81" s="93" t="s">
        <v>234</v>
      </c>
      <c r="J81" s="93">
        <v>20128</v>
      </c>
      <c r="K81" s="93" t="s">
        <v>204</v>
      </c>
      <c r="L81" s="93" t="s">
        <v>14</v>
      </c>
      <c r="T81" s="93">
        <v>2006</v>
      </c>
      <c r="W81" s="93" t="s">
        <v>21</v>
      </c>
      <c r="X81" s="93" t="s">
        <v>8</v>
      </c>
    </row>
    <row r="82" spans="2:38" x14ac:dyDescent="0.3">
      <c r="B82" s="93" t="s">
        <v>286</v>
      </c>
      <c r="C82" s="93" t="s">
        <v>677</v>
      </c>
      <c r="D82" s="93" t="s">
        <v>6</v>
      </c>
      <c r="E82" s="93" t="s">
        <v>81</v>
      </c>
      <c r="F82" s="93" t="s">
        <v>679</v>
      </c>
      <c r="G82" s="93" t="s">
        <v>678</v>
      </c>
      <c r="H82" s="93" t="s">
        <v>281</v>
      </c>
      <c r="I82" s="93" t="s">
        <v>279</v>
      </c>
      <c r="J82" s="93" t="s">
        <v>280</v>
      </c>
      <c r="K82" s="93">
        <v>8404</v>
      </c>
      <c r="L82" s="93" t="s">
        <v>282</v>
      </c>
      <c r="M82" s="93" t="s">
        <v>617</v>
      </c>
      <c r="N82" s="93" t="s">
        <v>1268</v>
      </c>
      <c r="O82" s="93" t="s">
        <v>1268</v>
      </c>
      <c r="T82" s="93">
        <v>2020</v>
      </c>
      <c r="W82" s="93" t="s">
        <v>21</v>
      </c>
      <c r="X82" s="93" t="s">
        <v>8</v>
      </c>
      <c r="AB82" s="93" t="s">
        <v>676</v>
      </c>
      <c r="AC82" s="93">
        <v>864</v>
      </c>
      <c r="AG82" s="93" t="s">
        <v>675</v>
      </c>
      <c r="AH82" s="93">
        <v>18</v>
      </c>
    </row>
    <row r="83" spans="2:38" x14ac:dyDescent="0.3">
      <c r="B83" s="93" t="s">
        <v>1383</v>
      </c>
      <c r="C83" s="93" t="s">
        <v>1391</v>
      </c>
      <c r="D83" s="93" t="s">
        <v>82</v>
      </c>
      <c r="E83" s="93" t="s">
        <v>84</v>
      </c>
      <c r="F83" s="93" t="s">
        <v>1393</v>
      </c>
      <c r="G83" s="93">
        <v>2009</v>
      </c>
      <c r="H83" s="93" t="s">
        <v>7</v>
      </c>
      <c r="I83" s="93" t="s">
        <v>1384</v>
      </c>
      <c r="J83" s="93" t="s">
        <v>1385</v>
      </c>
      <c r="K83" s="93" t="s">
        <v>219</v>
      </c>
      <c r="L83" s="93" t="s">
        <v>1386</v>
      </c>
      <c r="M83" s="93" t="s">
        <v>1388</v>
      </c>
      <c r="N83" s="93" t="s">
        <v>1387</v>
      </c>
      <c r="O83" s="93" t="s">
        <v>1387</v>
      </c>
      <c r="P83" s="93" t="s">
        <v>1392</v>
      </c>
      <c r="T83" s="93">
        <v>2025</v>
      </c>
      <c r="U83" s="93">
        <v>2025</v>
      </c>
      <c r="W83" s="93" t="s">
        <v>21</v>
      </c>
      <c r="X83" s="93" t="s">
        <v>1372</v>
      </c>
      <c r="Y83" s="93" t="s">
        <v>1373</v>
      </c>
      <c r="AB83" s="93" t="s">
        <v>1390</v>
      </c>
      <c r="AC83" s="93">
        <v>704</v>
      </c>
      <c r="AE83" s="93" t="s">
        <v>1091</v>
      </c>
      <c r="AF83" s="93" t="s">
        <v>1178</v>
      </c>
      <c r="AG83" s="93" t="s">
        <v>1389</v>
      </c>
      <c r="AH83" s="93">
        <v>45</v>
      </c>
      <c r="AL83" s="93" t="s">
        <v>1229</v>
      </c>
    </row>
    <row r="84" spans="2:38" x14ac:dyDescent="0.3">
      <c r="B84" s="93" t="s">
        <v>305</v>
      </c>
      <c r="D84" s="93" t="s">
        <v>6</v>
      </c>
      <c r="H84" s="93" t="s">
        <v>7</v>
      </c>
      <c r="I84" s="93" t="s">
        <v>306</v>
      </c>
      <c r="J84" s="93" t="s">
        <v>307</v>
      </c>
      <c r="K84" s="93" t="s">
        <v>308</v>
      </c>
      <c r="L84" s="93" t="s">
        <v>14</v>
      </c>
      <c r="T84" s="93">
        <v>2014</v>
      </c>
      <c r="W84" s="93" t="s">
        <v>21</v>
      </c>
      <c r="X84" s="93" t="s">
        <v>159</v>
      </c>
    </row>
    <row r="85" spans="2:38" x14ac:dyDescent="0.3">
      <c r="B85" s="93" t="s">
        <v>407</v>
      </c>
      <c r="D85" s="93" t="s">
        <v>6</v>
      </c>
      <c r="H85" s="93" t="s">
        <v>404</v>
      </c>
      <c r="I85" s="93" t="s">
        <v>406</v>
      </c>
      <c r="J85" s="93" t="s">
        <v>402</v>
      </c>
      <c r="K85" s="93" t="s">
        <v>403</v>
      </c>
      <c r="L85" s="93" t="s">
        <v>404</v>
      </c>
      <c r="T85" s="93">
        <v>2017</v>
      </c>
      <c r="W85" s="93" t="s">
        <v>21</v>
      </c>
      <c r="X85" s="93" t="s">
        <v>405</v>
      </c>
    </row>
    <row r="86" spans="2:38" x14ac:dyDescent="0.3">
      <c r="B86" s="93" t="s">
        <v>289</v>
      </c>
      <c r="C86" s="93" t="s">
        <v>1215</v>
      </c>
      <c r="D86" s="93" t="s">
        <v>6</v>
      </c>
      <c r="E86" s="93" t="s">
        <v>76</v>
      </c>
      <c r="F86" s="93" t="s">
        <v>656</v>
      </c>
      <c r="G86" s="93" t="s">
        <v>1051</v>
      </c>
      <c r="H86" s="93" t="s">
        <v>276</v>
      </c>
      <c r="I86" s="93" t="s">
        <v>292</v>
      </c>
      <c r="J86" s="93" t="s">
        <v>293</v>
      </c>
      <c r="K86" s="93">
        <v>10255</v>
      </c>
      <c r="L86" s="93" t="s">
        <v>285</v>
      </c>
      <c r="M86" s="93" t="s">
        <v>617</v>
      </c>
      <c r="N86" s="93" t="s">
        <v>1268</v>
      </c>
      <c r="O86" s="93" t="s">
        <v>1268</v>
      </c>
      <c r="T86" s="93">
        <v>2016</v>
      </c>
      <c r="W86" s="93" t="s">
        <v>21</v>
      </c>
      <c r="X86" s="93" t="s">
        <v>294</v>
      </c>
      <c r="AB86" s="93" t="s">
        <v>655</v>
      </c>
      <c r="AC86" s="93">
        <v>110</v>
      </c>
      <c r="AG86" s="93" t="s">
        <v>654</v>
      </c>
      <c r="AH86" s="93">
        <v>7</v>
      </c>
    </row>
    <row r="87" spans="2:38" x14ac:dyDescent="0.3">
      <c r="B87" s="93" t="s">
        <v>723</v>
      </c>
      <c r="C87" s="93" t="s">
        <v>731</v>
      </c>
      <c r="D87" s="93" t="s">
        <v>106</v>
      </c>
      <c r="E87" s="93" t="s">
        <v>730</v>
      </c>
      <c r="F87" s="93" t="s">
        <v>733</v>
      </c>
      <c r="G87" s="93" t="s">
        <v>732</v>
      </c>
      <c r="H87" s="93" t="s">
        <v>728</v>
      </c>
      <c r="I87" s="93" t="s">
        <v>726</v>
      </c>
      <c r="J87" s="93" t="s">
        <v>727</v>
      </c>
      <c r="K87" s="93">
        <v>2335</v>
      </c>
      <c r="L87" s="93" t="s">
        <v>728</v>
      </c>
      <c r="M87" s="93" t="s">
        <v>617</v>
      </c>
      <c r="N87" s="93" t="s">
        <v>1268</v>
      </c>
      <c r="O87" s="93" t="s">
        <v>1268</v>
      </c>
      <c r="T87" s="93">
        <v>2009</v>
      </c>
      <c r="W87" s="93" t="s">
        <v>21</v>
      </c>
      <c r="X87" s="93" t="s">
        <v>11</v>
      </c>
      <c r="AB87" s="93" t="s">
        <v>725</v>
      </c>
      <c r="AC87" s="93">
        <v>1158</v>
      </c>
      <c r="AG87" s="93" t="s">
        <v>724</v>
      </c>
      <c r="AH87" s="93">
        <v>15</v>
      </c>
    </row>
    <row r="88" spans="2:38" x14ac:dyDescent="0.3">
      <c r="B88" s="93" t="s">
        <v>1371</v>
      </c>
      <c r="C88" s="93" t="s">
        <v>1375</v>
      </c>
      <c r="D88" s="93" t="s">
        <v>82</v>
      </c>
      <c r="E88" s="93" t="s">
        <v>84</v>
      </c>
      <c r="F88" s="93" t="s">
        <v>1394</v>
      </c>
      <c r="G88" s="93">
        <v>2013</v>
      </c>
      <c r="H88" s="93" t="s">
        <v>7</v>
      </c>
      <c r="I88" s="93" t="s">
        <v>1380</v>
      </c>
      <c r="J88" s="93" t="s">
        <v>1381</v>
      </c>
      <c r="K88" s="93" t="s">
        <v>1382</v>
      </c>
      <c r="L88" s="93" t="s">
        <v>1376</v>
      </c>
      <c r="M88" s="93" t="s">
        <v>1377</v>
      </c>
      <c r="N88" s="93" t="s">
        <v>1378</v>
      </c>
      <c r="O88" s="93" t="s">
        <v>1378</v>
      </c>
      <c r="P88" s="93" t="s">
        <v>1379</v>
      </c>
      <c r="T88" s="93">
        <v>2020</v>
      </c>
      <c r="U88" s="93">
        <v>2020</v>
      </c>
      <c r="W88" s="93" t="s">
        <v>21</v>
      </c>
      <c r="X88" s="93" t="s">
        <v>1372</v>
      </c>
      <c r="Y88" s="93" t="s">
        <v>1373</v>
      </c>
      <c r="AB88" s="93" t="s">
        <v>1374</v>
      </c>
      <c r="AC88" s="93">
        <v>428</v>
      </c>
      <c r="AE88" s="93" t="s">
        <v>1091</v>
      </c>
      <c r="AF88" s="93" t="s">
        <v>1182</v>
      </c>
      <c r="AG88" s="93" t="s">
        <v>935</v>
      </c>
      <c r="AH88" s="93">
        <v>35</v>
      </c>
      <c r="AL88" s="93" t="s">
        <v>1233</v>
      </c>
    </row>
    <row r="89" spans="2:38" x14ac:dyDescent="0.3">
      <c r="B89" s="93" t="s">
        <v>298</v>
      </c>
      <c r="D89" s="93" t="s">
        <v>6</v>
      </c>
      <c r="H89" s="93" t="s">
        <v>7</v>
      </c>
      <c r="I89" s="93" t="s">
        <v>299</v>
      </c>
      <c r="J89" s="93" t="s">
        <v>300</v>
      </c>
      <c r="K89" s="93">
        <v>10027</v>
      </c>
      <c r="L89" s="93" t="s">
        <v>13</v>
      </c>
      <c r="T89" s="93">
        <v>1997</v>
      </c>
      <c r="W89" s="93" t="s">
        <v>21</v>
      </c>
      <c r="X89" s="93" t="s">
        <v>159</v>
      </c>
    </row>
    <row r="90" spans="2:38" x14ac:dyDescent="0.3">
      <c r="B90" s="93" t="s">
        <v>118</v>
      </c>
      <c r="D90" s="93" t="s">
        <v>6</v>
      </c>
      <c r="H90" s="93" t="s">
        <v>126</v>
      </c>
      <c r="I90" s="93" t="s">
        <v>1216</v>
      </c>
      <c r="J90" s="93" t="s">
        <v>203</v>
      </c>
      <c r="K90" s="93" t="s">
        <v>206</v>
      </c>
      <c r="L90" s="93" t="s">
        <v>125</v>
      </c>
      <c r="T90" s="93">
        <v>2019</v>
      </c>
      <c r="W90" s="93" t="s">
        <v>21</v>
      </c>
      <c r="X90" s="93" t="s">
        <v>8</v>
      </c>
    </row>
    <row r="91" spans="2:38" x14ac:dyDescent="0.3">
      <c r="B91" s="93" t="s">
        <v>370</v>
      </c>
      <c r="D91" s="93" t="s">
        <v>6</v>
      </c>
      <c r="H91" s="93" t="s">
        <v>7</v>
      </c>
      <c r="I91" s="93" t="s">
        <v>371</v>
      </c>
      <c r="J91" s="93" t="s">
        <v>372</v>
      </c>
      <c r="K91" s="93">
        <v>14989</v>
      </c>
      <c r="L91" s="93" t="s">
        <v>13</v>
      </c>
      <c r="T91" s="93">
        <v>1970</v>
      </c>
      <c r="W91" s="93" t="s">
        <v>21</v>
      </c>
      <c r="X91" s="93" t="s">
        <v>8</v>
      </c>
    </row>
    <row r="92" spans="2:38" x14ac:dyDescent="0.3">
      <c r="B92" s="93" t="s">
        <v>326</v>
      </c>
      <c r="C92" s="93" t="s">
        <v>1217</v>
      </c>
      <c r="D92" s="93" t="s">
        <v>6</v>
      </c>
      <c r="E92" s="93" t="s">
        <v>76</v>
      </c>
      <c r="F92" s="93" t="s">
        <v>672</v>
      </c>
      <c r="G92" s="93">
        <v>1915</v>
      </c>
      <c r="H92" s="93" t="s">
        <v>49</v>
      </c>
      <c r="I92" s="93" t="s">
        <v>324</v>
      </c>
      <c r="J92" s="93" t="s">
        <v>325</v>
      </c>
      <c r="K92" s="93">
        <v>8921</v>
      </c>
      <c r="L92" s="93" t="s">
        <v>282</v>
      </c>
      <c r="M92" s="93" t="s">
        <v>617</v>
      </c>
      <c r="N92" s="93" t="s">
        <v>1268</v>
      </c>
      <c r="O92" s="93" t="s">
        <v>1268</v>
      </c>
      <c r="T92" s="93">
        <v>1991</v>
      </c>
      <c r="W92" s="93" t="s">
        <v>21</v>
      </c>
      <c r="X92" s="93" t="s">
        <v>159</v>
      </c>
      <c r="AB92" s="93" t="s">
        <v>670</v>
      </c>
      <c r="AC92" s="93">
        <v>297</v>
      </c>
      <c r="AG92" s="93" t="s">
        <v>669</v>
      </c>
      <c r="AH92" s="93">
        <v>9</v>
      </c>
    </row>
    <row r="93" spans="2:38" x14ac:dyDescent="0.3">
      <c r="B93" s="93" t="s">
        <v>323</v>
      </c>
      <c r="C93" s="93" t="s">
        <v>671</v>
      </c>
      <c r="D93" s="93" t="s">
        <v>82</v>
      </c>
      <c r="E93" s="93" t="s">
        <v>606</v>
      </c>
      <c r="F93" s="93" t="s">
        <v>673</v>
      </c>
      <c r="G93" s="93">
        <v>1952</v>
      </c>
      <c r="H93" s="93" t="s">
        <v>49</v>
      </c>
      <c r="I93" s="93" t="s">
        <v>324</v>
      </c>
      <c r="J93" s="93" t="s">
        <v>325</v>
      </c>
      <c r="K93" s="93">
        <v>8921</v>
      </c>
      <c r="L93" s="93" t="s">
        <v>282</v>
      </c>
      <c r="M93" s="93" t="s">
        <v>617</v>
      </c>
      <c r="N93" s="93" t="s">
        <v>1268</v>
      </c>
      <c r="O93" s="93" t="s">
        <v>1268</v>
      </c>
      <c r="T93" s="93">
        <v>2017</v>
      </c>
      <c r="W93" s="93" t="s">
        <v>21</v>
      </c>
      <c r="X93" s="93" t="s">
        <v>8</v>
      </c>
      <c r="AB93" s="93" t="s">
        <v>668</v>
      </c>
      <c r="AC93" s="93">
        <v>268</v>
      </c>
      <c r="AG93" s="93" t="s">
        <v>667</v>
      </c>
      <c r="AH93" s="93">
        <v>12.5</v>
      </c>
    </row>
    <row r="94" spans="2:38" x14ac:dyDescent="0.3">
      <c r="B94" s="93" t="s">
        <v>248</v>
      </c>
      <c r="D94" s="93" t="s">
        <v>6</v>
      </c>
      <c r="H94" s="93" t="s">
        <v>7</v>
      </c>
      <c r="I94" s="93" t="s">
        <v>249</v>
      </c>
      <c r="J94" s="93">
        <v>17431</v>
      </c>
      <c r="K94" s="93" t="s">
        <v>204</v>
      </c>
      <c r="L94" s="93" t="s">
        <v>14</v>
      </c>
      <c r="T94" s="93">
        <v>1988</v>
      </c>
      <c r="W94" s="93" t="s">
        <v>21</v>
      </c>
      <c r="X94" s="93" t="s">
        <v>8</v>
      </c>
    </row>
    <row r="95" spans="2:38" x14ac:dyDescent="0.3">
      <c r="B95" s="93" t="s">
        <v>699</v>
      </c>
      <c r="C95" s="93" t="s">
        <v>700</v>
      </c>
      <c r="D95" s="93" t="s">
        <v>6</v>
      </c>
      <c r="E95" s="93" t="s">
        <v>81</v>
      </c>
      <c r="F95" s="93" t="s">
        <v>705</v>
      </c>
      <c r="G95" s="93">
        <v>1909</v>
      </c>
      <c r="H95" s="93" t="s">
        <v>49</v>
      </c>
      <c r="I95" s="93" t="s">
        <v>702</v>
      </c>
      <c r="J95" s="93" t="s">
        <v>703</v>
      </c>
      <c r="K95" s="93">
        <v>21782</v>
      </c>
      <c r="L95" s="93" t="s">
        <v>704</v>
      </c>
      <c r="M95" s="93" t="s">
        <v>617</v>
      </c>
      <c r="N95" s="93" t="s">
        <v>1268</v>
      </c>
      <c r="O95" s="93" t="s">
        <v>1268</v>
      </c>
      <c r="T95" s="93">
        <v>2001</v>
      </c>
      <c r="W95" s="93" t="s">
        <v>21</v>
      </c>
      <c r="X95" s="93" t="s">
        <v>269</v>
      </c>
      <c r="AB95" s="93" t="s">
        <v>701</v>
      </c>
      <c r="AC95" s="93">
        <v>293</v>
      </c>
      <c r="AG95" s="93" t="s">
        <v>646</v>
      </c>
      <c r="AH95" s="93">
        <v>14</v>
      </c>
    </row>
    <row r="96" spans="2:38" x14ac:dyDescent="0.3">
      <c r="B96" s="93" t="s">
        <v>770</v>
      </c>
      <c r="C96" s="93" t="s">
        <v>771</v>
      </c>
      <c r="D96" s="93" t="s">
        <v>6</v>
      </c>
      <c r="E96" s="93" t="s">
        <v>81</v>
      </c>
      <c r="F96" s="93" t="s">
        <v>773</v>
      </c>
      <c r="G96" s="93" t="s">
        <v>772</v>
      </c>
      <c r="H96" s="93" t="s">
        <v>766</v>
      </c>
      <c r="I96" s="93" t="s">
        <v>764</v>
      </c>
      <c r="J96" s="93" t="s">
        <v>767</v>
      </c>
      <c r="K96" s="93">
        <v>14686</v>
      </c>
      <c r="L96" s="93" t="s">
        <v>766</v>
      </c>
      <c r="M96" s="93" t="s">
        <v>645</v>
      </c>
      <c r="N96" s="93" t="s">
        <v>765</v>
      </c>
      <c r="O96" s="93" t="s">
        <v>1268</v>
      </c>
      <c r="T96" s="93">
        <v>2011</v>
      </c>
      <c r="W96" s="93" t="s">
        <v>21</v>
      </c>
      <c r="X96" s="93" t="s">
        <v>8</v>
      </c>
      <c r="AB96" s="93" t="s">
        <v>769</v>
      </c>
      <c r="AC96" s="93">
        <v>294</v>
      </c>
      <c r="AG96" s="93" t="s">
        <v>669</v>
      </c>
      <c r="AH96" s="93">
        <v>9</v>
      </c>
    </row>
    <row r="97" spans="2:34" x14ac:dyDescent="0.3">
      <c r="B97" s="93" t="s">
        <v>762</v>
      </c>
      <c r="C97" s="93" t="s">
        <v>763</v>
      </c>
      <c r="D97" s="93" t="s">
        <v>6</v>
      </c>
      <c r="E97" s="93" t="s">
        <v>81</v>
      </c>
      <c r="F97" s="93" t="s">
        <v>768</v>
      </c>
      <c r="G97" s="93">
        <v>1891</v>
      </c>
      <c r="H97" s="93" t="s">
        <v>766</v>
      </c>
      <c r="I97" s="93" t="s">
        <v>764</v>
      </c>
      <c r="J97" s="93" t="s">
        <v>767</v>
      </c>
      <c r="K97" s="93">
        <v>14686</v>
      </c>
      <c r="L97" s="93" t="s">
        <v>766</v>
      </c>
      <c r="M97" s="93" t="s">
        <v>645</v>
      </c>
      <c r="N97" s="93" t="s">
        <v>765</v>
      </c>
      <c r="O97" s="93" t="s">
        <v>1268</v>
      </c>
      <c r="T97" s="93">
        <v>2007</v>
      </c>
      <c r="W97" s="93" t="s">
        <v>21</v>
      </c>
      <c r="X97" s="93" t="s">
        <v>405</v>
      </c>
      <c r="AB97" s="93" t="s">
        <v>761</v>
      </c>
      <c r="AC97" s="93">
        <v>498</v>
      </c>
      <c r="AG97" s="93" t="s">
        <v>760</v>
      </c>
      <c r="AH97" s="93">
        <v>19</v>
      </c>
    </row>
    <row r="98" spans="2:34" x14ac:dyDescent="0.3">
      <c r="B98" s="93" t="s">
        <v>422</v>
      </c>
      <c r="D98" s="93" t="s">
        <v>6</v>
      </c>
      <c r="H98" s="93" t="s">
        <v>7</v>
      </c>
      <c r="I98" s="93" t="s">
        <v>421</v>
      </c>
      <c r="J98" s="93" t="s">
        <v>424</v>
      </c>
      <c r="K98" s="93">
        <v>11019</v>
      </c>
      <c r="L98" s="93" t="s">
        <v>226</v>
      </c>
      <c r="T98" s="93">
        <v>2001</v>
      </c>
      <c r="W98" s="93" t="s">
        <v>21</v>
      </c>
      <c r="X98" s="93" t="s">
        <v>423</v>
      </c>
    </row>
    <row r="99" spans="2:34" x14ac:dyDescent="0.3">
      <c r="B99" s="93" t="s">
        <v>119</v>
      </c>
      <c r="C99" s="93" t="s">
        <v>1011</v>
      </c>
      <c r="D99" s="93" t="s">
        <v>6</v>
      </c>
      <c r="E99" s="93" t="s">
        <v>744</v>
      </c>
      <c r="F99" s="93" t="s">
        <v>1013</v>
      </c>
      <c r="G99" s="93" t="s">
        <v>1012</v>
      </c>
      <c r="H99" s="93" t="s">
        <v>7</v>
      </c>
      <c r="I99" s="93" t="s">
        <v>9</v>
      </c>
      <c r="J99" s="93">
        <v>10887</v>
      </c>
      <c r="K99" s="93">
        <v>43122</v>
      </c>
      <c r="L99" s="93" t="s">
        <v>14</v>
      </c>
      <c r="M99" s="93" t="s">
        <v>645</v>
      </c>
      <c r="N99" s="93" t="s">
        <v>1268</v>
      </c>
      <c r="O99" s="93" t="s">
        <v>1268</v>
      </c>
      <c r="T99" s="93">
        <v>2018</v>
      </c>
      <c r="W99" s="93" t="s">
        <v>21</v>
      </c>
      <c r="X99" s="93" t="s">
        <v>8</v>
      </c>
      <c r="AB99" s="93" t="s">
        <v>1010</v>
      </c>
      <c r="AC99" s="93">
        <v>1087</v>
      </c>
      <c r="AG99" s="93" t="s">
        <v>660</v>
      </c>
      <c r="AH99" s="93">
        <v>25</v>
      </c>
    </row>
    <row r="100" spans="2:34" x14ac:dyDescent="0.3">
      <c r="B100" s="93" t="s">
        <v>247</v>
      </c>
      <c r="D100" s="93" t="s">
        <v>6</v>
      </c>
      <c r="H100" s="93" t="s">
        <v>7</v>
      </c>
      <c r="I100" s="93" t="s">
        <v>246</v>
      </c>
      <c r="J100" s="93">
        <v>9615</v>
      </c>
      <c r="K100" s="93">
        <v>42419</v>
      </c>
      <c r="L100" s="93" t="s">
        <v>14</v>
      </c>
      <c r="T100" s="93">
        <v>2019</v>
      </c>
      <c r="W100" s="93" t="s">
        <v>21</v>
      </c>
      <c r="X100" s="93" t="s">
        <v>159</v>
      </c>
    </row>
    <row r="101" spans="2:34" x14ac:dyDescent="0.3">
      <c r="B101" s="93" t="s">
        <v>151</v>
      </c>
      <c r="D101" s="93" t="s">
        <v>82</v>
      </c>
      <c r="H101" s="93" t="s">
        <v>21</v>
      </c>
      <c r="I101" s="93" t="s">
        <v>1199</v>
      </c>
      <c r="J101" s="93" t="s">
        <v>202</v>
      </c>
      <c r="K101" s="93" t="s">
        <v>204</v>
      </c>
      <c r="L101" s="93" t="s">
        <v>22</v>
      </c>
      <c r="T101" s="93">
        <v>2006</v>
      </c>
      <c r="W101" s="93" t="s">
        <v>21</v>
      </c>
      <c r="X101" s="93" t="s">
        <v>150</v>
      </c>
    </row>
    <row r="102" spans="2:34" x14ac:dyDescent="0.3">
      <c r="B102" s="93" t="s">
        <v>4</v>
      </c>
      <c r="C102" s="93" t="s">
        <v>1008</v>
      </c>
      <c r="D102" s="93" t="s">
        <v>6</v>
      </c>
      <c r="E102" s="93" t="s">
        <v>81</v>
      </c>
      <c r="F102" s="93" t="s">
        <v>1009</v>
      </c>
      <c r="G102" s="93" t="s">
        <v>1007</v>
      </c>
      <c r="H102" s="93" t="s">
        <v>7</v>
      </c>
      <c r="I102" s="93" t="s">
        <v>5</v>
      </c>
      <c r="J102" s="93" t="s">
        <v>207</v>
      </c>
      <c r="K102" s="93">
        <v>23337</v>
      </c>
      <c r="L102" s="93" t="s">
        <v>13</v>
      </c>
      <c r="M102" s="93" t="s">
        <v>617</v>
      </c>
      <c r="N102" s="93" t="s">
        <v>1268</v>
      </c>
      <c r="O102" s="93" t="s">
        <v>1268</v>
      </c>
      <c r="T102" s="93">
        <v>2014</v>
      </c>
      <c r="W102" s="93" t="s">
        <v>21</v>
      </c>
      <c r="X102" s="93" t="s">
        <v>8</v>
      </c>
      <c r="AB102" s="93" t="s">
        <v>1006</v>
      </c>
      <c r="AC102" s="93">
        <v>842</v>
      </c>
      <c r="AG102" s="93" t="s">
        <v>660</v>
      </c>
      <c r="AH102" s="93">
        <v>25</v>
      </c>
    </row>
    <row r="103" spans="2:34" x14ac:dyDescent="0.3">
      <c r="B103" s="93" t="s">
        <v>252</v>
      </c>
      <c r="C103" s="93" t="s">
        <v>252</v>
      </c>
      <c r="D103" s="93" t="s">
        <v>6</v>
      </c>
      <c r="E103" s="93" t="s">
        <v>81</v>
      </c>
      <c r="F103" s="93" t="s">
        <v>977</v>
      </c>
      <c r="G103" s="93">
        <v>1989</v>
      </c>
      <c r="H103" s="93" t="s">
        <v>21</v>
      </c>
      <c r="I103" s="93" t="s">
        <v>250</v>
      </c>
      <c r="J103" s="93">
        <v>8084</v>
      </c>
      <c r="K103" s="93">
        <v>41700</v>
      </c>
      <c r="L103" s="93" t="s">
        <v>22</v>
      </c>
      <c r="M103" s="93" t="s">
        <v>617</v>
      </c>
      <c r="N103" s="93" t="s">
        <v>1268</v>
      </c>
      <c r="O103" s="93" t="s">
        <v>1268</v>
      </c>
      <c r="T103" s="93">
        <v>2007</v>
      </c>
      <c r="W103" s="93" t="s">
        <v>21</v>
      </c>
      <c r="X103" s="93" t="s">
        <v>251</v>
      </c>
      <c r="AB103" s="93" t="s">
        <v>976</v>
      </c>
      <c r="AC103" s="93">
        <v>117</v>
      </c>
      <c r="AG103" s="93" t="s">
        <v>975</v>
      </c>
      <c r="AH103" s="93">
        <v>7.9</v>
      </c>
    </row>
    <row r="104" spans="2:34" x14ac:dyDescent="0.3">
      <c r="B104" s="93" t="s">
        <v>337</v>
      </c>
      <c r="C104" s="93" t="s">
        <v>337</v>
      </c>
      <c r="D104" s="93" t="s">
        <v>97</v>
      </c>
      <c r="E104" s="93" t="s">
        <v>98</v>
      </c>
      <c r="F104" s="93" t="s">
        <v>720</v>
      </c>
      <c r="G104" s="93">
        <v>1835</v>
      </c>
      <c r="H104" s="93" t="s">
        <v>341</v>
      </c>
      <c r="I104" s="93" t="s">
        <v>338</v>
      </c>
      <c r="J104" s="93" t="s">
        <v>339</v>
      </c>
      <c r="K104" s="93" t="s">
        <v>340</v>
      </c>
      <c r="L104" s="93" t="s">
        <v>341</v>
      </c>
      <c r="M104" s="93" t="s">
        <v>617</v>
      </c>
      <c r="N104" s="93" t="s">
        <v>1268</v>
      </c>
      <c r="O104" s="93" t="s">
        <v>1268</v>
      </c>
      <c r="T104" s="93">
        <v>2023</v>
      </c>
      <c r="W104" s="93" t="s">
        <v>21</v>
      </c>
      <c r="X104" s="93" t="s">
        <v>721</v>
      </c>
      <c r="AB104" s="93" t="s">
        <v>722</v>
      </c>
      <c r="AC104" s="93">
        <v>704</v>
      </c>
      <c r="AG104" s="93" t="s">
        <v>719</v>
      </c>
      <c r="AH104" s="93">
        <v>40</v>
      </c>
    </row>
    <row r="105" spans="2:34" x14ac:dyDescent="0.3">
      <c r="B105" s="93" t="s">
        <v>23</v>
      </c>
      <c r="C105" s="93" t="s">
        <v>969</v>
      </c>
      <c r="D105" s="93" t="s">
        <v>6</v>
      </c>
      <c r="E105" s="93" t="s">
        <v>81</v>
      </c>
      <c r="F105" s="93" t="s">
        <v>970</v>
      </c>
      <c r="G105" s="93">
        <v>1883</v>
      </c>
      <c r="H105" s="93" t="s">
        <v>21</v>
      </c>
      <c r="I105" s="93" t="s">
        <v>1194</v>
      </c>
      <c r="J105" s="93" t="s">
        <v>196</v>
      </c>
      <c r="K105" s="93" t="s">
        <v>197</v>
      </c>
      <c r="L105" s="93" t="s">
        <v>22</v>
      </c>
      <c r="M105" s="93" t="s">
        <v>617</v>
      </c>
      <c r="N105" s="93" t="s">
        <v>1268</v>
      </c>
      <c r="O105" s="93" t="s">
        <v>1268</v>
      </c>
      <c r="T105" s="93">
        <v>2013</v>
      </c>
      <c r="W105" s="93" t="s">
        <v>21</v>
      </c>
      <c r="X105" s="93" t="s">
        <v>20</v>
      </c>
      <c r="AB105" s="93" t="s">
        <v>968</v>
      </c>
      <c r="AC105" s="93">
        <v>285</v>
      </c>
      <c r="AG105" s="93" t="s">
        <v>967</v>
      </c>
      <c r="AH105" s="93">
        <v>3.9</v>
      </c>
    </row>
    <row r="106" spans="2:34" x14ac:dyDescent="0.3">
      <c r="B106" s="93" t="s">
        <v>261</v>
      </c>
      <c r="D106" s="93" t="s">
        <v>6</v>
      </c>
      <c r="H106" s="93" t="s">
        <v>7</v>
      </c>
      <c r="I106" s="93" t="s">
        <v>260</v>
      </c>
      <c r="J106" s="93" t="s">
        <v>262</v>
      </c>
      <c r="K106" s="93">
        <v>13589</v>
      </c>
      <c r="L106" s="93" t="s">
        <v>14</v>
      </c>
      <c r="T106" s="93">
        <v>2020</v>
      </c>
      <c r="W106" s="93" t="s">
        <v>21</v>
      </c>
      <c r="X106" s="93" t="s">
        <v>20</v>
      </c>
    </row>
    <row r="107" spans="2:34" x14ac:dyDescent="0.3">
      <c r="B107" s="93" t="s">
        <v>350</v>
      </c>
      <c r="D107" s="93" t="s">
        <v>6</v>
      </c>
      <c r="H107" s="93" t="s">
        <v>7</v>
      </c>
      <c r="I107" s="93" t="s">
        <v>348</v>
      </c>
      <c r="J107" s="93">
        <v>10007</v>
      </c>
      <c r="K107" s="93">
        <v>36962</v>
      </c>
      <c r="L107" s="93" t="s">
        <v>14</v>
      </c>
      <c r="T107" s="93">
        <v>2012</v>
      </c>
      <c r="W107" s="93" t="s">
        <v>21</v>
      </c>
      <c r="X107" s="93" t="s">
        <v>11</v>
      </c>
    </row>
    <row r="108" spans="2:34" x14ac:dyDescent="0.3">
      <c r="B108" s="93" t="s">
        <v>351</v>
      </c>
      <c r="D108" s="93" t="s">
        <v>6</v>
      </c>
      <c r="H108" s="93" t="s">
        <v>7</v>
      </c>
      <c r="I108" s="93" t="s">
        <v>348</v>
      </c>
      <c r="J108" s="93">
        <v>10007</v>
      </c>
      <c r="K108" s="93">
        <v>36962</v>
      </c>
      <c r="L108" s="93" t="s">
        <v>14</v>
      </c>
      <c r="T108" s="93">
        <v>2012</v>
      </c>
      <c r="W108" s="93" t="s">
        <v>21</v>
      </c>
      <c r="X108" s="93" t="s">
        <v>11</v>
      </c>
    </row>
    <row r="109" spans="2:34" x14ac:dyDescent="0.3">
      <c r="B109" s="93" t="s">
        <v>349</v>
      </c>
      <c r="D109" s="93" t="s">
        <v>6</v>
      </c>
      <c r="H109" s="93" t="s">
        <v>7</v>
      </c>
      <c r="I109" s="93" t="s">
        <v>348</v>
      </c>
      <c r="J109" s="93">
        <v>10007</v>
      </c>
      <c r="K109" s="93">
        <v>36962</v>
      </c>
      <c r="L109" s="93" t="s">
        <v>14</v>
      </c>
      <c r="T109" s="93">
        <v>2012</v>
      </c>
      <c r="W109" s="93" t="s">
        <v>21</v>
      </c>
      <c r="X109" s="93" t="s">
        <v>11</v>
      </c>
    </row>
    <row r="110" spans="2:34" x14ac:dyDescent="0.3">
      <c r="B110" s="93" t="s">
        <v>227</v>
      </c>
      <c r="D110" s="93" t="s">
        <v>6</v>
      </c>
      <c r="H110" s="93" t="s">
        <v>7</v>
      </c>
      <c r="I110" s="93" t="s">
        <v>229</v>
      </c>
      <c r="J110" s="93" t="s">
        <v>230</v>
      </c>
      <c r="K110" s="93" t="s">
        <v>231</v>
      </c>
      <c r="L110" s="93" t="s">
        <v>233</v>
      </c>
      <c r="T110" s="93">
        <v>2018</v>
      </c>
      <c r="W110" s="93" t="s">
        <v>21</v>
      </c>
      <c r="X110" s="93" t="s">
        <v>232</v>
      </c>
    </row>
    <row r="111" spans="2:34" x14ac:dyDescent="0.3">
      <c r="B111" s="93" t="s">
        <v>713</v>
      </c>
      <c r="C111" s="93" t="s">
        <v>714</v>
      </c>
      <c r="D111" s="93" t="s">
        <v>6</v>
      </c>
      <c r="E111" s="93" t="s">
        <v>81</v>
      </c>
      <c r="F111" s="93" t="s">
        <v>718</v>
      </c>
      <c r="G111" s="93" t="s">
        <v>715</v>
      </c>
      <c r="H111" s="93" t="s">
        <v>49</v>
      </c>
      <c r="I111" s="93" t="s">
        <v>331</v>
      </c>
      <c r="J111" s="93" t="s">
        <v>332</v>
      </c>
      <c r="K111" s="93">
        <v>20313</v>
      </c>
      <c r="L111" s="93" t="s">
        <v>46</v>
      </c>
      <c r="M111" s="93" t="s">
        <v>617</v>
      </c>
      <c r="N111" s="93" t="s">
        <v>707</v>
      </c>
      <c r="O111" s="93" t="s">
        <v>1268</v>
      </c>
      <c r="T111" s="93">
        <v>2021</v>
      </c>
      <c r="W111" s="93" t="s">
        <v>21</v>
      </c>
      <c r="X111" s="93" t="s">
        <v>8</v>
      </c>
      <c r="AB111" s="93" t="s">
        <v>717</v>
      </c>
      <c r="AC111" s="93">
        <v>1128</v>
      </c>
      <c r="AG111" s="93" t="s">
        <v>716</v>
      </c>
      <c r="AH111" s="93">
        <v>24</v>
      </c>
    </row>
    <row r="112" spans="2:34" x14ac:dyDescent="0.3">
      <c r="B112" s="93" t="s">
        <v>710</v>
      </c>
      <c r="C112" s="93" t="s">
        <v>711</v>
      </c>
      <c r="D112" s="93" t="s">
        <v>6</v>
      </c>
      <c r="E112" s="93" t="s">
        <v>81</v>
      </c>
      <c r="F112" s="93" t="s">
        <v>712</v>
      </c>
      <c r="G112" s="93">
        <v>1901</v>
      </c>
      <c r="H112" s="93" t="s">
        <v>49</v>
      </c>
      <c r="I112" s="93" t="s">
        <v>331</v>
      </c>
      <c r="J112" s="93" t="s">
        <v>332</v>
      </c>
      <c r="K112" s="93">
        <v>20313</v>
      </c>
      <c r="L112" s="93" t="s">
        <v>46</v>
      </c>
      <c r="M112" s="93" t="s">
        <v>617</v>
      </c>
      <c r="N112" s="93" t="s">
        <v>707</v>
      </c>
      <c r="O112" s="93" t="s">
        <v>1268</v>
      </c>
      <c r="T112" s="93">
        <v>2016</v>
      </c>
      <c r="W112" s="93" t="s">
        <v>21</v>
      </c>
      <c r="X112" s="93" t="s">
        <v>8</v>
      </c>
      <c r="AB112" s="93" t="s">
        <v>709</v>
      </c>
      <c r="AC112" s="93">
        <v>713</v>
      </c>
      <c r="AG112" s="93" t="s">
        <v>633</v>
      </c>
      <c r="AH112" s="93">
        <v>16</v>
      </c>
    </row>
    <row r="113" spans="2:38" x14ac:dyDescent="0.3">
      <c r="B113" s="93" t="s">
        <v>334</v>
      </c>
      <c r="C113" s="93" t="s">
        <v>706</v>
      </c>
      <c r="D113" s="93" t="s">
        <v>6</v>
      </c>
      <c r="E113" s="93" t="s">
        <v>81</v>
      </c>
      <c r="F113" s="93" t="s">
        <v>708</v>
      </c>
      <c r="G113" s="93">
        <v>1924</v>
      </c>
      <c r="H113" s="93" t="s">
        <v>49</v>
      </c>
      <c r="I113" s="93" t="s">
        <v>331</v>
      </c>
      <c r="J113" s="93" t="s">
        <v>332</v>
      </c>
      <c r="K113" s="93">
        <v>20313</v>
      </c>
      <c r="L113" s="93" t="s">
        <v>46</v>
      </c>
      <c r="M113" s="93" t="s">
        <v>617</v>
      </c>
      <c r="N113" s="93" t="s">
        <v>707</v>
      </c>
      <c r="O113" s="93" t="s">
        <v>1268</v>
      </c>
      <c r="T113" s="93">
        <v>1945</v>
      </c>
      <c r="W113" s="93" t="s">
        <v>21</v>
      </c>
      <c r="X113" s="93" t="s">
        <v>333</v>
      </c>
      <c r="AC113" s="93">
        <v>803</v>
      </c>
    </row>
    <row r="114" spans="2:38" x14ac:dyDescent="0.3">
      <c r="B114" s="93" t="s">
        <v>353</v>
      </c>
      <c r="D114" s="93" t="s">
        <v>6</v>
      </c>
      <c r="H114" s="93" t="s">
        <v>7</v>
      </c>
      <c r="I114" s="93" t="s">
        <v>352</v>
      </c>
      <c r="J114" s="93">
        <v>9548</v>
      </c>
      <c r="K114" s="93">
        <v>41448</v>
      </c>
      <c r="L114" s="93" t="s">
        <v>14</v>
      </c>
      <c r="T114" s="93">
        <v>2018</v>
      </c>
      <c r="W114" s="93" t="s">
        <v>21</v>
      </c>
      <c r="X114" s="93" t="s">
        <v>20</v>
      </c>
      <c r="AD114" s="93" t="s">
        <v>1435</v>
      </c>
    </row>
    <row r="115" spans="2:38" x14ac:dyDescent="0.3">
      <c r="B115" s="93" t="s">
        <v>354</v>
      </c>
      <c r="D115" s="93" t="s">
        <v>6</v>
      </c>
      <c r="H115" s="93" t="s">
        <v>7</v>
      </c>
      <c r="I115" s="93" t="s">
        <v>352</v>
      </c>
      <c r="J115" s="93">
        <v>9548</v>
      </c>
      <c r="K115" s="93">
        <v>41448</v>
      </c>
      <c r="L115" s="93" t="s">
        <v>14</v>
      </c>
      <c r="T115" s="93">
        <v>2018</v>
      </c>
      <c r="W115" s="93" t="s">
        <v>21</v>
      </c>
      <c r="X115" s="93" t="s">
        <v>20</v>
      </c>
      <c r="AD115" s="93" t="s">
        <v>1436</v>
      </c>
    </row>
    <row r="116" spans="2:38" x14ac:dyDescent="0.3">
      <c r="B116" s="93" t="s">
        <v>355</v>
      </c>
      <c r="D116" s="93" t="s">
        <v>6</v>
      </c>
      <c r="H116" s="93" t="s">
        <v>7</v>
      </c>
      <c r="I116" s="93" t="s">
        <v>352</v>
      </c>
      <c r="J116" s="93">
        <v>9548</v>
      </c>
      <c r="K116" s="93">
        <v>41448</v>
      </c>
      <c r="L116" s="93" t="s">
        <v>14</v>
      </c>
      <c r="T116" s="93">
        <v>2019</v>
      </c>
      <c r="W116" s="93" t="s">
        <v>21</v>
      </c>
      <c r="X116" s="93" t="s">
        <v>20</v>
      </c>
      <c r="AD116" s="93" t="s">
        <v>1437</v>
      </c>
    </row>
    <row r="117" spans="2:38" x14ac:dyDescent="0.3">
      <c r="B117" s="93" t="s">
        <v>356</v>
      </c>
      <c r="D117" s="93" t="s">
        <v>6</v>
      </c>
      <c r="H117" s="93" t="s">
        <v>7</v>
      </c>
      <c r="I117" s="93" t="s">
        <v>352</v>
      </c>
      <c r="J117" s="93">
        <v>9548</v>
      </c>
      <c r="K117" s="93">
        <v>41448</v>
      </c>
      <c r="L117" s="93" t="s">
        <v>14</v>
      </c>
      <c r="T117" s="93">
        <v>2019</v>
      </c>
      <c r="W117" s="93" t="s">
        <v>21</v>
      </c>
      <c r="X117" s="93" t="s">
        <v>20</v>
      </c>
      <c r="AD117" s="93" t="s">
        <v>1438</v>
      </c>
    </row>
    <row r="118" spans="2:38" x14ac:dyDescent="0.3">
      <c r="B118" s="93" t="s">
        <v>357</v>
      </c>
      <c r="D118" s="93" t="s">
        <v>6</v>
      </c>
      <c r="H118" s="93" t="s">
        <v>7</v>
      </c>
      <c r="I118" s="93" t="s">
        <v>352</v>
      </c>
      <c r="J118" s="93">
        <v>9548</v>
      </c>
      <c r="K118" s="93">
        <v>41448</v>
      </c>
      <c r="L118" s="93" t="s">
        <v>14</v>
      </c>
      <c r="T118" s="93">
        <v>2017</v>
      </c>
      <c r="W118" s="93" t="s">
        <v>21</v>
      </c>
      <c r="X118" s="93" t="s">
        <v>20</v>
      </c>
    </row>
    <row r="119" spans="2:38" x14ac:dyDescent="0.3">
      <c r="B119" s="93" t="s">
        <v>301</v>
      </c>
      <c r="D119" s="93" t="s">
        <v>6</v>
      </c>
      <c r="H119" s="93" t="s">
        <v>7</v>
      </c>
      <c r="I119" s="93" t="s">
        <v>302</v>
      </c>
      <c r="J119" s="93" t="s">
        <v>303</v>
      </c>
      <c r="K119" s="93" t="s">
        <v>304</v>
      </c>
      <c r="L119" s="93" t="s">
        <v>182</v>
      </c>
      <c r="T119" s="93">
        <v>1987</v>
      </c>
      <c r="W119" s="93" t="s">
        <v>21</v>
      </c>
      <c r="X119" s="93" t="s">
        <v>269</v>
      </c>
    </row>
    <row r="120" spans="2:38" x14ac:dyDescent="0.3">
      <c r="B120" s="93" t="s">
        <v>180</v>
      </c>
      <c r="D120" s="93" t="s">
        <v>6</v>
      </c>
      <c r="H120" s="93" t="s">
        <v>7</v>
      </c>
      <c r="I120" s="93" t="s">
        <v>181</v>
      </c>
      <c r="J120" s="93">
        <v>27022</v>
      </c>
      <c r="K120" s="93" t="s">
        <v>204</v>
      </c>
      <c r="L120" s="93" t="s">
        <v>14</v>
      </c>
      <c r="T120" s="93">
        <v>2013</v>
      </c>
      <c r="W120" s="93" t="s">
        <v>21</v>
      </c>
      <c r="X120" s="93" t="s">
        <v>166</v>
      </c>
    </row>
    <row r="121" spans="2:38" x14ac:dyDescent="0.3">
      <c r="B121" s="93" t="s">
        <v>398</v>
      </c>
      <c r="D121" s="93" t="s">
        <v>97</v>
      </c>
      <c r="H121" s="93" t="s">
        <v>7</v>
      </c>
      <c r="I121" s="93" t="s">
        <v>397</v>
      </c>
      <c r="J121" s="93" t="s">
        <v>399</v>
      </c>
      <c r="K121" s="93" t="s">
        <v>400</v>
      </c>
      <c r="L121" s="93" t="s">
        <v>13</v>
      </c>
      <c r="T121" s="93">
        <v>2013</v>
      </c>
      <c r="W121" s="93" t="s">
        <v>21</v>
      </c>
      <c r="X121" s="93" t="s">
        <v>8</v>
      </c>
    </row>
    <row r="122" spans="2:38" x14ac:dyDescent="0.3">
      <c r="B122" s="93" t="s">
        <v>1297</v>
      </c>
      <c r="C122" s="93" t="s">
        <v>971</v>
      </c>
      <c r="D122" s="93" t="s">
        <v>6</v>
      </c>
      <c r="E122" s="93" t="s">
        <v>81</v>
      </c>
      <c r="F122" s="93" t="s">
        <v>972</v>
      </c>
      <c r="G122" s="93">
        <v>1906</v>
      </c>
      <c r="H122" s="93" t="s">
        <v>188</v>
      </c>
      <c r="I122" s="93" t="s">
        <v>366</v>
      </c>
      <c r="J122" s="93" t="s">
        <v>212</v>
      </c>
      <c r="K122" s="93">
        <v>19086</v>
      </c>
      <c r="L122" s="93" t="s">
        <v>188</v>
      </c>
      <c r="M122" s="93" t="s">
        <v>617</v>
      </c>
      <c r="N122" s="93" t="s">
        <v>1268</v>
      </c>
      <c r="O122" s="93" t="s">
        <v>1268</v>
      </c>
      <c r="Q122" s="93" t="s">
        <v>1298</v>
      </c>
      <c r="T122" s="93">
        <v>2020</v>
      </c>
      <c r="U122" s="93">
        <v>2020</v>
      </c>
      <c r="W122" s="93" t="s">
        <v>21</v>
      </c>
      <c r="X122" s="93" t="s">
        <v>20</v>
      </c>
      <c r="Y122" s="93" t="s">
        <v>1300</v>
      </c>
      <c r="AB122" s="93" t="s">
        <v>1301</v>
      </c>
      <c r="AC122" s="93">
        <v>237</v>
      </c>
      <c r="AE122" s="93" t="s">
        <v>1092</v>
      </c>
      <c r="AF122" s="93" t="s">
        <v>1178</v>
      </c>
      <c r="AG122" s="93" t="s">
        <v>975</v>
      </c>
      <c r="AH122" s="93">
        <v>7.9</v>
      </c>
      <c r="AL122" s="93" t="s">
        <v>1223</v>
      </c>
    </row>
    <row r="123" spans="2:38" x14ac:dyDescent="0.3">
      <c r="B123" s="93" t="s">
        <v>330</v>
      </c>
      <c r="D123" s="93" t="s">
        <v>6</v>
      </c>
      <c r="H123" s="93" t="s">
        <v>21</v>
      </c>
      <c r="I123" s="93" t="s">
        <v>329</v>
      </c>
      <c r="J123" s="93">
        <v>3400</v>
      </c>
      <c r="K123" s="93">
        <v>37094</v>
      </c>
      <c r="L123" s="93" t="s">
        <v>22</v>
      </c>
      <c r="T123" s="93">
        <v>1975</v>
      </c>
      <c r="W123" s="93" t="s">
        <v>21</v>
      </c>
      <c r="X123" s="93" t="s">
        <v>166</v>
      </c>
    </row>
    <row r="124" spans="2:38" x14ac:dyDescent="0.3">
      <c r="B124" s="93" t="s">
        <v>25</v>
      </c>
      <c r="D124" s="93" t="s">
        <v>6</v>
      </c>
      <c r="H124" s="93" t="s">
        <v>7</v>
      </c>
      <c r="I124" s="93" t="s">
        <v>26</v>
      </c>
      <c r="J124" s="93" t="s">
        <v>214</v>
      </c>
      <c r="K124" s="93" t="s">
        <v>215</v>
      </c>
      <c r="L124" s="93" t="s">
        <v>24</v>
      </c>
      <c r="T124" s="93">
        <v>2014</v>
      </c>
      <c r="W124" s="93" t="s">
        <v>21</v>
      </c>
      <c r="X124" s="93" t="s">
        <v>8</v>
      </c>
    </row>
    <row r="125" spans="2:38" x14ac:dyDescent="0.3">
      <c r="B125" s="93" t="s">
        <v>314</v>
      </c>
      <c r="D125" s="93" t="s">
        <v>6</v>
      </c>
      <c r="H125" s="93" t="s">
        <v>7</v>
      </c>
      <c r="I125" s="93" t="s">
        <v>313</v>
      </c>
      <c r="J125" s="93">
        <v>1858</v>
      </c>
      <c r="K125" s="93">
        <v>25669</v>
      </c>
      <c r="L125" s="93" t="s">
        <v>14</v>
      </c>
      <c r="T125" s="93">
        <v>1964</v>
      </c>
      <c r="W125" s="93" t="s">
        <v>21</v>
      </c>
      <c r="X125" s="93" t="s">
        <v>8</v>
      </c>
    </row>
    <row r="126" spans="2:38" x14ac:dyDescent="0.3">
      <c r="B126" s="93" t="s">
        <v>173</v>
      </c>
      <c r="D126" s="93" t="s">
        <v>6</v>
      </c>
      <c r="H126" s="93" t="s">
        <v>171</v>
      </c>
      <c r="I126" s="93" t="s">
        <v>169</v>
      </c>
      <c r="J126" s="93" t="s">
        <v>216</v>
      </c>
      <c r="K126" s="93" t="s">
        <v>217</v>
      </c>
      <c r="L126" s="93" t="s">
        <v>170</v>
      </c>
      <c r="T126" s="93">
        <v>2019</v>
      </c>
      <c r="W126" s="93" t="s">
        <v>21</v>
      </c>
      <c r="X126" s="93" t="s">
        <v>172</v>
      </c>
    </row>
    <row r="127" spans="2:38" x14ac:dyDescent="0.3">
      <c r="B127" s="93" t="s">
        <v>428</v>
      </c>
      <c r="C127" s="93" t="s">
        <v>1025</v>
      </c>
      <c r="D127" s="93" t="s">
        <v>97</v>
      </c>
      <c r="E127" s="93" t="s">
        <v>98</v>
      </c>
      <c r="F127" s="93" t="s">
        <v>1028</v>
      </c>
      <c r="G127" s="93" t="s">
        <v>1027</v>
      </c>
      <c r="H127" s="93" t="s">
        <v>427</v>
      </c>
      <c r="I127" s="93" t="s">
        <v>425</v>
      </c>
      <c r="J127" s="93" t="s">
        <v>430</v>
      </c>
      <c r="K127" s="93" t="s">
        <v>430</v>
      </c>
      <c r="L127" s="93" t="s">
        <v>426</v>
      </c>
      <c r="M127" s="93" t="s">
        <v>617</v>
      </c>
      <c r="N127" s="93" t="s">
        <v>1268</v>
      </c>
      <c r="O127" s="93" t="s">
        <v>1268</v>
      </c>
      <c r="T127" s="93">
        <v>1999</v>
      </c>
      <c r="W127" s="93" t="s">
        <v>21</v>
      </c>
      <c r="X127" s="93" t="s">
        <v>39</v>
      </c>
      <c r="AB127" s="93" t="s">
        <v>1024</v>
      </c>
      <c r="AC127" s="93">
        <v>479</v>
      </c>
      <c r="AD127" s="93" t="s">
        <v>1439</v>
      </c>
      <c r="AG127" s="93" t="s">
        <v>682</v>
      </c>
      <c r="AH127" s="93">
        <v>10</v>
      </c>
    </row>
    <row r="128" spans="2:38" x14ac:dyDescent="0.3">
      <c r="B128" s="93" t="s">
        <v>429</v>
      </c>
      <c r="C128" s="93" t="s">
        <v>1026</v>
      </c>
      <c r="D128" s="93" t="s">
        <v>97</v>
      </c>
      <c r="E128" s="93" t="s">
        <v>98</v>
      </c>
      <c r="F128" s="93" t="s">
        <v>1029</v>
      </c>
      <c r="G128" s="93" t="s">
        <v>1027</v>
      </c>
      <c r="H128" s="93" t="s">
        <v>427</v>
      </c>
      <c r="I128" s="93" t="s">
        <v>425</v>
      </c>
      <c r="J128" s="93" t="s">
        <v>430</v>
      </c>
      <c r="K128" s="93" t="s">
        <v>430</v>
      </c>
      <c r="L128" s="93" t="s">
        <v>426</v>
      </c>
      <c r="M128" s="93" t="s">
        <v>617</v>
      </c>
      <c r="N128" s="93" t="s">
        <v>1268</v>
      </c>
      <c r="O128" s="93" t="s">
        <v>1268</v>
      </c>
      <c r="T128" s="93">
        <v>1999</v>
      </c>
      <c r="W128" s="93" t="s">
        <v>21</v>
      </c>
      <c r="X128" s="93" t="s">
        <v>39</v>
      </c>
      <c r="AB128" s="93" t="s">
        <v>1023</v>
      </c>
      <c r="AC128" s="93">
        <v>350</v>
      </c>
      <c r="AD128" s="93" t="s">
        <v>1440</v>
      </c>
      <c r="AG128" s="93" t="s">
        <v>1022</v>
      </c>
      <c r="AH128" s="93">
        <v>9.9</v>
      </c>
    </row>
    <row r="129" spans="2:38" x14ac:dyDescent="0.3">
      <c r="B129" s="93" t="s">
        <v>374</v>
      </c>
      <c r="D129" s="93" t="s">
        <v>6</v>
      </c>
      <c r="H129" s="93" t="s">
        <v>7</v>
      </c>
      <c r="I129" s="93" t="s">
        <v>373</v>
      </c>
      <c r="J129" s="93">
        <v>22698</v>
      </c>
      <c r="K129" s="93" t="s">
        <v>204</v>
      </c>
      <c r="L129" s="93" t="s">
        <v>14</v>
      </c>
      <c r="T129" s="93">
        <v>2003</v>
      </c>
      <c r="W129" s="93" t="s">
        <v>21</v>
      </c>
      <c r="X129" s="93" t="s">
        <v>8</v>
      </c>
    </row>
    <row r="130" spans="2:38" x14ac:dyDescent="0.3">
      <c r="B130" s="93" t="s">
        <v>376</v>
      </c>
      <c r="D130" s="93" t="s">
        <v>6</v>
      </c>
      <c r="H130" s="93" t="s">
        <v>7</v>
      </c>
      <c r="I130" s="93" t="s">
        <v>373</v>
      </c>
      <c r="J130" s="93">
        <v>22698</v>
      </c>
      <c r="K130" s="93" t="s">
        <v>204</v>
      </c>
      <c r="L130" s="93" t="s">
        <v>14</v>
      </c>
      <c r="T130" s="93">
        <v>2017</v>
      </c>
      <c r="W130" s="93" t="s">
        <v>21</v>
      </c>
      <c r="X130" s="93" t="s">
        <v>8</v>
      </c>
    </row>
    <row r="131" spans="2:38" x14ac:dyDescent="0.3">
      <c r="B131" s="93" t="s">
        <v>375</v>
      </c>
      <c r="D131" s="93" t="s">
        <v>6</v>
      </c>
      <c r="H131" s="93" t="s">
        <v>7</v>
      </c>
      <c r="I131" s="93" t="s">
        <v>373</v>
      </c>
      <c r="J131" s="93">
        <v>22698</v>
      </c>
      <c r="K131" s="93" t="s">
        <v>204</v>
      </c>
      <c r="L131" s="93" t="s">
        <v>14</v>
      </c>
      <c r="T131" s="93">
        <v>2021</v>
      </c>
      <c r="W131" s="93" t="s">
        <v>21</v>
      </c>
      <c r="X131" s="93" t="s">
        <v>8</v>
      </c>
    </row>
    <row r="132" spans="2:38" x14ac:dyDescent="0.3">
      <c r="B132" s="93" t="s">
        <v>55</v>
      </c>
      <c r="D132" s="93" t="s">
        <v>6</v>
      </c>
      <c r="H132" s="93" t="s">
        <v>7</v>
      </c>
      <c r="I132" s="93" t="s">
        <v>52</v>
      </c>
      <c r="J132" s="93">
        <v>30637</v>
      </c>
      <c r="K132" s="93" t="s">
        <v>204</v>
      </c>
      <c r="L132" s="93" t="s">
        <v>14</v>
      </c>
      <c r="T132" s="93">
        <v>2016</v>
      </c>
      <c r="W132" s="93" t="s">
        <v>21</v>
      </c>
      <c r="X132" s="93" t="s">
        <v>11</v>
      </c>
    </row>
    <row r="133" spans="2:38" x14ac:dyDescent="0.3">
      <c r="B133" s="93" t="s">
        <v>54</v>
      </c>
      <c r="D133" s="93" t="s">
        <v>6</v>
      </c>
      <c r="H133" s="93" t="s">
        <v>7</v>
      </c>
      <c r="I133" s="93" t="s">
        <v>52</v>
      </c>
      <c r="J133" s="93">
        <v>30637</v>
      </c>
      <c r="K133" s="93" t="s">
        <v>204</v>
      </c>
      <c r="L133" s="93" t="s">
        <v>14</v>
      </c>
      <c r="T133" s="93">
        <v>2017</v>
      </c>
      <c r="W133" s="93" t="s">
        <v>21</v>
      </c>
      <c r="X133" s="93" t="s">
        <v>11</v>
      </c>
    </row>
    <row r="134" spans="2:38" x14ac:dyDescent="0.3">
      <c r="B134" s="93" t="s">
        <v>53</v>
      </c>
      <c r="D134" s="93" t="s">
        <v>6</v>
      </c>
      <c r="H134" s="93" t="s">
        <v>7</v>
      </c>
      <c r="I134" s="93" t="s">
        <v>52</v>
      </c>
      <c r="J134" s="93">
        <v>30637</v>
      </c>
      <c r="K134" s="93" t="s">
        <v>204</v>
      </c>
      <c r="L134" s="93" t="s">
        <v>14</v>
      </c>
      <c r="T134" s="93">
        <v>2016</v>
      </c>
      <c r="W134" s="93" t="s">
        <v>21</v>
      </c>
      <c r="X134" s="93" t="s">
        <v>11</v>
      </c>
    </row>
    <row r="135" spans="2:38" x14ac:dyDescent="0.3">
      <c r="B135" s="93" t="s">
        <v>56</v>
      </c>
      <c r="D135" s="93" t="s">
        <v>6</v>
      </c>
      <c r="H135" s="93" t="s">
        <v>7</v>
      </c>
      <c r="I135" s="93" t="s">
        <v>52</v>
      </c>
      <c r="J135" s="93">
        <v>30637</v>
      </c>
      <c r="K135" s="93" t="s">
        <v>204</v>
      </c>
      <c r="L135" s="93" t="s">
        <v>14</v>
      </c>
      <c r="T135" s="93">
        <v>2017</v>
      </c>
      <c r="W135" s="93" t="s">
        <v>21</v>
      </c>
      <c r="X135" s="93" t="s">
        <v>11</v>
      </c>
    </row>
    <row r="136" spans="2:38" x14ac:dyDescent="0.3">
      <c r="B136" s="93" t="s">
        <v>809</v>
      </c>
      <c r="C136" s="93" t="s">
        <v>810</v>
      </c>
      <c r="D136" s="93" t="s">
        <v>6</v>
      </c>
      <c r="E136" s="93" t="s">
        <v>81</v>
      </c>
      <c r="F136" s="93" t="s">
        <v>814</v>
      </c>
      <c r="G136" s="93">
        <v>1957</v>
      </c>
      <c r="H136" s="93" t="s">
        <v>254</v>
      </c>
      <c r="I136" s="93" t="s">
        <v>811</v>
      </c>
      <c r="J136" s="93" t="s">
        <v>813</v>
      </c>
      <c r="K136" s="93">
        <v>22066</v>
      </c>
      <c r="L136" s="93" t="s">
        <v>255</v>
      </c>
      <c r="M136" s="93" t="s">
        <v>617</v>
      </c>
      <c r="N136" s="93" t="s">
        <v>812</v>
      </c>
      <c r="O136" s="93" t="s">
        <v>1268</v>
      </c>
      <c r="T136" s="93">
        <v>1963</v>
      </c>
      <c r="W136" s="93" t="s">
        <v>21</v>
      </c>
      <c r="X136" s="93" t="s">
        <v>159</v>
      </c>
      <c r="AB136" s="93" t="s">
        <v>808</v>
      </c>
      <c r="AC136" s="93">
        <v>436</v>
      </c>
      <c r="AG136" s="93" t="s">
        <v>807</v>
      </c>
      <c r="AH136" s="93">
        <v>11.0274</v>
      </c>
      <c r="AI136" s="93" t="s">
        <v>1346</v>
      </c>
    </row>
    <row r="137" spans="2:38" x14ac:dyDescent="0.3">
      <c r="B137" s="93" t="s">
        <v>192</v>
      </c>
      <c r="C137" s="93" t="s">
        <v>984</v>
      </c>
      <c r="D137" s="93" t="s">
        <v>6</v>
      </c>
      <c r="E137" s="93" t="s">
        <v>81</v>
      </c>
      <c r="F137" s="93" t="s">
        <v>985</v>
      </c>
      <c r="G137" s="93">
        <v>1976</v>
      </c>
      <c r="H137" s="93" t="s">
        <v>7</v>
      </c>
      <c r="I137" s="93" t="s">
        <v>191</v>
      </c>
      <c r="J137" s="93">
        <v>11993</v>
      </c>
      <c r="K137" s="93" t="s">
        <v>204</v>
      </c>
      <c r="L137" s="93" t="s">
        <v>14</v>
      </c>
      <c r="M137" s="93" t="s">
        <v>645</v>
      </c>
      <c r="N137" s="93" t="s">
        <v>1268</v>
      </c>
      <c r="O137" s="93" t="s">
        <v>1268</v>
      </c>
      <c r="T137" s="93">
        <v>2011</v>
      </c>
      <c r="W137" s="93" t="s">
        <v>21</v>
      </c>
      <c r="X137" s="93" t="s">
        <v>8</v>
      </c>
      <c r="AB137" s="93" t="s">
        <v>983</v>
      </c>
      <c r="AC137" s="93">
        <v>160</v>
      </c>
      <c r="AG137" s="93" t="s">
        <v>982</v>
      </c>
      <c r="AH137" s="93">
        <v>9.5</v>
      </c>
    </row>
    <row r="138" spans="2:38" x14ac:dyDescent="0.3">
      <c r="B138" s="93" t="s">
        <v>866</v>
      </c>
      <c r="C138" s="93" t="s">
        <v>866</v>
      </c>
      <c r="D138" s="93" t="s">
        <v>6</v>
      </c>
      <c r="E138" s="93" t="s">
        <v>81</v>
      </c>
      <c r="F138" s="93" t="s">
        <v>869</v>
      </c>
      <c r="G138" s="93">
        <v>1950</v>
      </c>
      <c r="H138" s="93" t="s">
        <v>21</v>
      </c>
      <c r="I138" s="93" t="s">
        <v>868</v>
      </c>
      <c r="J138" s="93">
        <v>3175</v>
      </c>
      <c r="K138" s="93">
        <v>18502</v>
      </c>
      <c r="L138" s="93" t="s">
        <v>22</v>
      </c>
      <c r="M138" s="93" t="s">
        <v>617</v>
      </c>
      <c r="N138" s="93" t="s">
        <v>1268</v>
      </c>
      <c r="O138" s="93" t="s">
        <v>1268</v>
      </c>
      <c r="T138" s="93">
        <v>2022</v>
      </c>
      <c r="W138" s="93" t="s">
        <v>21</v>
      </c>
      <c r="X138" s="93" t="s">
        <v>159</v>
      </c>
      <c r="AB138" s="93" t="s">
        <v>867</v>
      </c>
      <c r="AC138" s="93">
        <v>213</v>
      </c>
      <c r="AG138" s="93" t="s">
        <v>652</v>
      </c>
      <c r="AH138" s="93">
        <v>4.95</v>
      </c>
    </row>
    <row r="139" spans="2:38" x14ac:dyDescent="0.3">
      <c r="B139" s="93" t="s">
        <v>776</v>
      </c>
      <c r="C139" s="93" t="s">
        <v>777</v>
      </c>
      <c r="D139" s="93" t="s">
        <v>6</v>
      </c>
      <c r="E139" s="93" t="s">
        <v>81</v>
      </c>
      <c r="F139" s="93" t="s">
        <v>830</v>
      </c>
      <c r="G139" s="93">
        <v>1890</v>
      </c>
      <c r="H139" s="93" t="s">
        <v>728</v>
      </c>
      <c r="I139" s="93" t="s">
        <v>1210</v>
      </c>
      <c r="J139" s="93" t="s">
        <v>778</v>
      </c>
      <c r="K139" s="93">
        <v>19043</v>
      </c>
      <c r="L139" s="93" t="s">
        <v>728</v>
      </c>
      <c r="M139" s="93" t="s">
        <v>617</v>
      </c>
      <c r="N139" s="93" t="s">
        <v>775</v>
      </c>
      <c r="O139" s="93" t="s">
        <v>1268</v>
      </c>
      <c r="T139" s="93">
        <v>2002</v>
      </c>
      <c r="W139" s="93" t="s">
        <v>21</v>
      </c>
      <c r="X139" s="93" t="s">
        <v>269</v>
      </c>
      <c r="AB139" s="93" t="s">
        <v>774</v>
      </c>
      <c r="AC139" s="93">
        <v>186</v>
      </c>
      <c r="AG139" s="93" t="s">
        <v>624</v>
      </c>
      <c r="AH139" s="93">
        <v>13</v>
      </c>
    </row>
    <row r="140" spans="2:38" x14ac:dyDescent="0.3">
      <c r="B140" s="93" t="s">
        <v>309</v>
      </c>
      <c r="D140" s="93" t="s">
        <v>6</v>
      </c>
      <c r="H140" s="93" t="s">
        <v>126</v>
      </c>
      <c r="I140" s="93" t="s">
        <v>1195</v>
      </c>
      <c r="J140" s="93">
        <v>16407</v>
      </c>
      <c r="K140" s="93" t="s">
        <v>204</v>
      </c>
      <c r="L140" s="93" t="s">
        <v>126</v>
      </c>
      <c r="T140" s="93">
        <v>2014</v>
      </c>
      <c r="W140" s="93" t="s">
        <v>21</v>
      </c>
      <c r="X140" s="93" t="s">
        <v>159</v>
      </c>
    </row>
    <row r="141" spans="2:38" x14ac:dyDescent="0.3">
      <c r="B141" s="93" t="s">
        <v>295</v>
      </c>
      <c r="D141" s="93" t="s">
        <v>6</v>
      </c>
      <c r="H141" s="93" t="s">
        <v>276</v>
      </c>
      <c r="I141" s="93" t="s">
        <v>296</v>
      </c>
      <c r="J141" s="93">
        <v>18957</v>
      </c>
      <c r="K141" s="93" t="s">
        <v>204</v>
      </c>
      <c r="L141" s="93" t="s">
        <v>285</v>
      </c>
      <c r="T141" s="93">
        <v>1997</v>
      </c>
      <c r="W141" s="93" t="s">
        <v>21</v>
      </c>
      <c r="X141" s="93" t="s">
        <v>297</v>
      </c>
    </row>
    <row r="142" spans="2:38" x14ac:dyDescent="0.3">
      <c r="B142" s="93" t="s">
        <v>945</v>
      </c>
      <c r="C142" s="93" t="s">
        <v>1218</v>
      </c>
      <c r="D142" s="93" t="s">
        <v>6</v>
      </c>
      <c r="E142" s="93" t="s">
        <v>77</v>
      </c>
      <c r="F142" s="93" t="s">
        <v>952</v>
      </c>
      <c r="G142" s="93" t="s">
        <v>951</v>
      </c>
      <c r="H142" s="93" t="s">
        <v>126</v>
      </c>
      <c r="I142" s="93" t="s">
        <v>948</v>
      </c>
      <c r="J142" s="93" t="s">
        <v>949</v>
      </c>
      <c r="K142" s="93" t="s">
        <v>950</v>
      </c>
      <c r="L142" s="93" t="s">
        <v>126</v>
      </c>
      <c r="M142" s="93" t="s">
        <v>617</v>
      </c>
      <c r="N142" s="93" t="s">
        <v>1268</v>
      </c>
      <c r="O142" s="93" t="s">
        <v>1268</v>
      </c>
      <c r="T142" s="93">
        <v>2016</v>
      </c>
      <c r="W142" s="93" t="s">
        <v>21</v>
      </c>
      <c r="X142" s="93" t="s">
        <v>937</v>
      </c>
      <c r="AB142" s="93" t="s">
        <v>947</v>
      </c>
      <c r="AC142" s="93">
        <v>205</v>
      </c>
      <c r="AG142" s="93" t="s">
        <v>946</v>
      </c>
      <c r="AH142" s="93">
        <v>26.5</v>
      </c>
    </row>
    <row r="143" spans="2:38" x14ac:dyDescent="0.3">
      <c r="B143" s="93" t="s">
        <v>1395</v>
      </c>
      <c r="C143" s="93" t="s">
        <v>1396</v>
      </c>
      <c r="D143" s="93" t="s">
        <v>82</v>
      </c>
      <c r="E143" s="93" t="s">
        <v>84</v>
      </c>
      <c r="F143" s="93" t="s">
        <v>1414</v>
      </c>
      <c r="G143" s="93">
        <v>2018</v>
      </c>
      <c r="H143" s="93" t="s">
        <v>7</v>
      </c>
      <c r="I143" s="93" t="s">
        <v>1400</v>
      </c>
      <c r="J143" s="93" t="s">
        <v>1364</v>
      </c>
      <c r="K143" s="93" t="s">
        <v>205</v>
      </c>
      <c r="L143" s="93" t="s">
        <v>34</v>
      </c>
      <c r="M143" s="93" t="s">
        <v>1397</v>
      </c>
      <c r="N143" s="93" t="s">
        <v>1269</v>
      </c>
      <c r="O143" s="93" t="s">
        <v>1269</v>
      </c>
      <c r="P143" s="93" t="s">
        <v>1398</v>
      </c>
      <c r="T143" s="93">
        <v>2018</v>
      </c>
      <c r="U143" s="93">
        <v>2018</v>
      </c>
      <c r="W143" s="93" t="s">
        <v>21</v>
      </c>
      <c r="X143" s="93" t="s">
        <v>1399</v>
      </c>
      <c r="Y143" s="93" t="s">
        <v>1259</v>
      </c>
      <c r="AB143" s="93" t="s">
        <v>1401</v>
      </c>
      <c r="AC143" s="93">
        <v>581</v>
      </c>
      <c r="AE143" s="93" t="s">
        <v>1090</v>
      </c>
      <c r="AF143" s="93" t="s">
        <v>1182</v>
      </c>
      <c r="AG143" s="93" t="s">
        <v>1402</v>
      </c>
      <c r="AH143" s="93">
        <v>59</v>
      </c>
      <c r="AL143" s="93" t="s">
        <v>1231</v>
      </c>
    </row>
    <row r="144" spans="2:38" x14ac:dyDescent="0.3">
      <c r="B144" s="93" t="s">
        <v>860</v>
      </c>
      <c r="C144" s="93" t="s">
        <v>860</v>
      </c>
      <c r="D144" s="93" t="s">
        <v>6</v>
      </c>
      <c r="E144" s="93" t="s">
        <v>81</v>
      </c>
      <c r="F144" s="93" t="s">
        <v>865</v>
      </c>
      <c r="G144" s="93">
        <v>1904</v>
      </c>
      <c r="H144" s="93" t="s">
        <v>21</v>
      </c>
      <c r="I144" s="93" t="s">
        <v>863</v>
      </c>
      <c r="J144" s="93" t="s">
        <v>864</v>
      </c>
      <c r="K144" s="93">
        <v>13494</v>
      </c>
      <c r="L144" s="93" t="s">
        <v>22</v>
      </c>
      <c r="M144" s="93" t="s">
        <v>617</v>
      </c>
      <c r="N144" s="93" t="s">
        <v>862</v>
      </c>
      <c r="O144" s="93" t="s">
        <v>1268</v>
      </c>
      <c r="T144" s="93">
        <v>2014</v>
      </c>
      <c r="W144" s="93" t="s">
        <v>21</v>
      </c>
      <c r="X144" s="93" t="s">
        <v>277</v>
      </c>
      <c r="AB144" s="93" t="s">
        <v>861</v>
      </c>
      <c r="AC144" s="93">
        <v>291</v>
      </c>
      <c r="AG144" s="93" t="s">
        <v>669</v>
      </c>
      <c r="AH144" s="93">
        <v>9</v>
      </c>
    </row>
    <row r="145" spans="2:35" x14ac:dyDescent="0.3">
      <c r="B145" s="93" t="s">
        <v>749</v>
      </c>
      <c r="C145" s="93" t="s">
        <v>754</v>
      </c>
      <c r="D145" s="93" t="s">
        <v>6</v>
      </c>
      <c r="E145" s="93" t="s">
        <v>81</v>
      </c>
      <c r="F145" s="93" t="s">
        <v>759</v>
      </c>
      <c r="G145" s="93" t="s">
        <v>755</v>
      </c>
      <c r="H145" s="93" t="s">
        <v>753</v>
      </c>
      <c r="I145" s="93" t="s">
        <v>756</v>
      </c>
      <c r="J145" s="93" t="s">
        <v>758</v>
      </c>
      <c r="K145" s="93">
        <v>15939</v>
      </c>
      <c r="L145" s="93" t="s">
        <v>753</v>
      </c>
      <c r="M145" s="93" t="s">
        <v>617</v>
      </c>
      <c r="N145" s="93" t="s">
        <v>757</v>
      </c>
      <c r="O145" s="93" t="s">
        <v>1268</v>
      </c>
      <c r="T145" s="93">
        <v>2022</v>
      </c>
      <c r="W145" s="93" t="s">
        <v>21</v>
      </c>
      <c r="X145" s="93" t="s">
        <v>751</v>
      </c>
      <c r="AB145" s="93" t="s">
        <v>752</v>
      </c>
      <c r="AC145" s="93">
        <v>796</v>
      </c>
      <c r="AG145" s="93" t="s">
        <v>750</v>
      </c>
      <c r="AH145" s="93">
        <v>22</v>
      </c>
    </row>
    <row r="146" spans="2:35" x14ac:dyDescent="0.3">
      <c r="B146" s="93" t="s">
        <v>120</v>
      </c>
      <c r="D146" s="93" t="s">
        <v>6</v>
      </c>
      <c r="H146" s="93" t="s">
        <v>7</v>
      </c>
      <c r="I146" s="93" t="s">
        <v>36</v>
      </c>
      <c r="J146" s="93">
        <v>17094</v>
      </c>
      <c r="K146" s="93" t="s">
        <v>204</v>
      </c>
      <c r="L146" s="93" t="s">
        <v>13</v>
      </c>
      <c r="T146" s="93">
        <v>2008</v>
      </c>
      <c r="W146" s="93" t="s">
        <v>21</v>
      </c>
      <c r="X146" s="93" t="s">
        <v>8</v>
      </c>
    </row>
    <row r="147" spans="2:35" x14ac:dyDescent="0.3">
      <c r="B147" s="93" t="s">
        <v>413</v>
      </c>
      <c r="D147" s="93" t="s">
        <v>6</v>
      </c>
      <c r="H147" s="93" t="s">
        <v>126</v>
      </c>
      <c r="I147" s="93" t="s">
        <v>412</v>
      </c>
      <c r="J147" s="93">
        <v>1148</v>
      </c>
      <c r="K147" s="93">
        <v>28058</v>
      </c>
      <c r="L147" s="93" t="s">
        <v>126</v>
      </c>
      <c r="T147" s="93">
        <v>2014</v>
      </c>
      <c r="W147" s="93" t="s">
        <v>21</v>
      </c>
      <c r="X147" s="93" t="s">
        <v>277</v>
      </c>
    </row>
    <row r="148" spans="2:35" x14ac:dyDescent="0.3">
      <c r="B148" s="93" t="s">
        <v>915</v>
      </c>
      <c r="C148" s="93" t="s">
        <v>920</v>
      </c>
      <c r="D148" s="93" t="s">
        <v>6</v>
      </c>
      <c r="E148" s="93" t="s">
        <v>77</v>
      </c>
      <c r="F148" s="93" t="s">
        <v>921</v>
      </c>
      <c r="G148" s="93">
        <v>1964</v>
      </c>
      <c r="H148" s="93" t="s">
        <v>7</v>
      </c>
      <c r="I148" s="93" t="s">
        <v>918</v>
      </c>
      <c r="J148" s="93" t="s">
        <v>919</v>
      </c>
      <c r="K148" s="93">
        <v>21602</v>
      </c>
      <c r="L148" s="93" t="s">
        <v>14</v>
      </c>
      <c r="M148" s="93" t="s">
        <v>617</v>
      </c>
      <c r="N148" s="93" t="s">
        <v>1268</v>
      </c>
      <c r="O148" s="93" t="s">
        <v>1268</v>
      </c>
      <c r="T148" s="93">
        <v>1994</v>
      </c>
      <c r="W148" s="93" t="s">
        <v>21</v>
      </c>
      <c r="X148" s="93" t="s">
        <v>277</v>
      </c>
      <c r="AB148" s="93" t="s">
        <v>917</v>
      </c>
      <c r="AC148" s="93">
        <v>327</v>
      </c>
      <c r="AG148" s="93" t="s">
        <v>916</v>
      </c>
      <c r="AH148" s="93">
        <v>8.8000000000000007</v>
      </c>
    </row>
    <row r="149" spans="2:35" x14ac:dyDescent="0.3">
      <c r="B149" s="93" t="s">
        <v>59</v>
      </c>
      <c r="D149" s="93" t="s">
        <v>6</v>
      </c>
      <c r="H149" s="93" t="s">
        <v>21</v>
      </c>
      <c r="I149" s="93" t="s">
        <v>57</v>
      </c>
      <c r="J149" s="93" t="s">
        <v>213</v>
      </c>
      <c r="K149" s="93" t="s">
        <v>204</v>
      </c>
      <c r="L149" s="93" t="s">
        <v>22</v>
      </c>
      <c r="T149" s="93">
        <v>2016</v>
      </c>
      <c r="W149" s="93" t="s">
        <v>21</v>
      </c>
      <c r="X149" s="93" t="s">
        <v>58</v>
      </c>
    </row>
    <row r="150" spans="2:35" x14ac:dyDescent="0.3">
      <c r="B150" s="93" t="s">
        <v>60</v>
      </c>
      <c r="D150" s="93" t="s">
        <v>6</v>
      </c>
      <c r="H150" s="93" t="s">
        <v>21</v>
      </c>
      <c r="I150" s="93" t="s">
        <v>57</v>
      </c>
      <c r="J150" s="93" t="s">
        <v>213</v>
      </c>
      <c r="K150" s="93" t="s">
        <v>204</v>
      </c>
      <c r="L150" s="93" t="s">
        <v>22</v>
      </c>
      <c r="T150" s="93">
        <v>2016</v>
      </c>
      <c r="W150" s="93" t="s">
        <v>21</v>
      </c>
      <c r="X150" s="93" t="s">
        <v>58</v>
      </c>
    </row>
    <row r="151" spans="2:35" x14ac:dyDescent="0.3">
      <c r="B151" s="93" t="s">
        <v>61</v>
      </c>
      <c r="D151" s="93" t="s">
        <v>6</v>
      </c>
      <c r="H151" s="93" t="s">
        <v>21</v>
      </c>
      <c r="I151" s="93" t="s">
        <v>57</v>
      </c>
      <c r="J151" s="93" t="s">
        <v>213</v>
      </c>
      <c r="K151" s="93" t="s">
        <v>204</v>
      </c>
      <c r="L151" s="93" t="s">
        <v>22</v>
      </c>
      <c r="T151" s="93">
        <v>2017</v>
      </c>
      <c r="W151" s="93" t="s">
        <v>21</v>
      </c>
      <c r="X151" s="93" t="s">
        <v>58</v>
      </c>
    </row>
    <row r="152" spans="2:35" x14ac:dyDescent="0.3">
      <c r="B152" s="93" t="s">
        <v>62</v>
      </c>
      <c r="D152" s="93" t="s">
        <v>6</v>
      </c>
      <c r="H152" s="93" t="s">
        <v>21</v>
      </c>
      <c r="I152" s="93" t="s">
        <v>57</v>
      </c>
      <c r="J152" s="93" t="s">
        <v>213</v>
      </c>
      <c r="K152" s="93" t="s">
        <v>204</v>
      </c>
      <c r="L152" s="93" t="s">
        <v>22</v>
      </c>
      <c r="T152" s="93">
        <v>2017</v>
      </c>
      <c r="W152" s="93" t="s">
        <v>21</v>
      </c>
      <c r="X152" s="93" t="s">
        <v>58</v>
      </c>
    </row>
    <row r="153" spans="2:35" x14ac:dyDescent="0.3">
      <c r="B153" s="93" t="s">
        <v>817</v>
      </c>
      <c r="C153" s="93" t="s">
        <v>826</v>
      </c>
      <c r="D153" s="93" t="s">
        <v>6</v>
      </c>
      <c r="E153" s="93" t="s">
        <v>81</v>
      </c>
      <c r="F153" s="93" t="s">
        <v>829</v>
      </c>
      <c r="G153" s="93" t="s">
        <v>827</v>
      </c>
      <c r="H153" s="93" t="s">
        <v>65</v>
      </c>
      <c r="I153" s="93" t="s">
        <v>1211</v>
      </c>
      <c r="J153" s="93" t="s">
        <v>828</v>
      </c>
      <c r="K153" s="93">
        <v>9471</v>
      </c>
      <c r="L153" s="93" t="s">
        <v>64</v>
      </c>
      <c r="M153" s="93" t="s">
        <v>617</v>
      </c>
      <c r="N153" s="93" t="s">
        <v>825</v>
      </c>
      <c r="O153" s="93" t="s">
        <v>1268</v>
      </c>
      <c r="T153" s="93">
        <v>1968</v>
      </c>
      <c r="W153" s="93" t="s">
        <v>21</v>
      </c>
      <c r="X153" s="93" t="s">
        <v>740</v>
      </c>
      <c r="AC153" s="93">
        <v>1025</v>
      </c>
      <c r="AG153" s="93" t="s">
        <v>824</v>
      </c>
      <c r="AH153" s="93">
        <v>32.239800000000002</v>
      </c>
      <c r="AI153" s="93" t="s">
        <v>1347</v>
      </c>
    </row>
    <row r="154" spans="2:35" x14ac:dyDescent="0.3">
      <c r="B154" s="93" t="s">
        <v>258</v>
      </c>
      <c r="D154" s="93" t="s">
        <v>6</v>
      </c>
      <c r="H154" s="93" t="s">
        <v>7</v>
      </c>
      <c r="I154" s="93" t="s">
        <v>259</v>
      </c>
      <c r="J154" s="93">
        <v>12799</v>
      </c>
      <c r="K154" s="93" t="s">
        <v>204</v>
      </c>
      <c r="L154" s="93" t="s">
        <v>14</v>
      </c>
      <c r="T154" s="93">
        <v>1988</v>
      </c>
      <c r="W154" s="93" t="s">
        <v>21</v>
      </c>
      <c r="X154" s="93" t="s">
        <v>8</v>
      </c>
    </row>
    <row r="155" spans="2:35" x14ac:dyDescent="0.3">
      <c r="B155" s="93" t="s">
        <v>420</v>
      </c>
      <c r="D155" s="93" t="s">
        <v>106</v>
      </c>
      <c r="H155" s="93" t="s">
        <v>126</v>
      </c>
      <c r="I155" s="93" t="s">
        <v>418</v>
      </c>
      <c r="J155" s="93" t="s">
        <v>419</v>
      </c>
      <c r="K155" s="93">
        <v>6911</v>
      </c>
      <c r="L155" s="93" t="s">
        <v>126</v>
      </c>
      <c r="T155" s="93">
        <v>2009</v>
      </c>
      <c r="W155" s="93" t="s">
        <v>21</v>
      </c>
      <c r="X155" s="93" t="s">
        <v>159</v>
      </c>
    </row>
    <row r="156" spans="2:35" x14ac:dyDescent="0.3">
      <c r="B156" s="93" t="s">
        <v>177</v>
      </c>
      <c r="D156" s="93" t="s">
        <v>6</v>
      </c>
      <c r="H156" s="93" t="s">
        <v>7</v>
      </c>
      <c r="I156" s="93" t="s">
        <v>178</v>
      </c>
      <c r="J156" s="93">
        <v>32374</v>
      </c>
      <c r="K156" s="93" t="s">
        <v>204</v>
      </c>
      <c r="L156" s="93" t="s">
        <v>14</v>
      </c>
      <c r="T156" s="93">
        <v>2017</v>
      </c>
      <c r="W156" s="93" t="s">
        <v>21</v>
      </c>
      <c r="X156" s="93" t="s">
        <v>179</v>
      </c>
    </row>
    <row r="157" spans="2:35" x14ac:dyDescent="0.3">
      <c r="B157" s="93" t="s">
        <v>30</v>
      </c>
      <c r="D157" s="93" t="s">
        <v>6</v>
      </c>
      <c r="H157" s="93" t="s">
        <v>7</v>
      </c>
      <c r="I157" s="93" t="s">
        <v>29</v>
      </c>
      <c r="J157" s="93">
        <v>26821</v>
      </c>
      <c r="K157" s="93" t="s">
        <v>204</v>
      </c>
      <c r="L157" s="93" t="s">
        <v>14</v>
      </c>
      <c r="T157" s="93">
        <v>2019</v>
      </c>
      <c r="W157" s="93" t="s">
        <v>21</v>
      </c>
      <c r="X157" s="93" t="s">
        <v>8</v>
      </c>
    </row>
    <row r="158" spans="2:35" x14ac:dyDescent="0.3">
      <c r="B158" s="93" t="s">
        <v>32</v>
      </c>
      <c r="D158" s="93" t="s">
        <v>6</v>
      </c>
      <c r="H158" s="93" t="s">
        <v>7</v>
      </c>
      <c r="I158" s="93" t="s">
        <v>29</v>
      </c>
      <c r="J158" s="93">
        <v>26821</v>
      </c>
      <c r="K158" s="93" t="s">
        <v>204</v>
      </c>
      <c r="L158" s="93" t="s">
        <v>14</v>
      </c>
      <c r="T158" s="93">
        <v>2011</v>
      </c>
      <c r="W158" s="93" t="s">
        <v>21</v>
      </c>
      <c r="X158" s="93" t="s">
        <v>20</v>
      </c>
    </row>
    <row r="159" spans="2:35" x14ac:dyDescent="0.3">
      <c r="B159" s="93" t="s">
        <v>31</v>
      </c>
      <c r="D159" s="93" t="s">
        <v>6</v>
      </c>
      <c r="H159" s="93" t="s">
        <v>7</v>
      </c>
      <c r="I159" s="93" t="s">
        <v>29</v>
      </c>
      <c r="J159" s="93">
        <v>26821</v>
      </c>
      <c r="K159" s="93" t="s">
        <v>204</v>
      </c>
      <c r="L159" s="93" t="s">
        <v>14</v>
      </c>
      <c r="T159" s="93">
        <v>2019</v>
      </c>
      <c r="W159" s="93" t="s">
        <v>21</v>
      </c>
      <c r="X159" s="93" t="s">
        <v>8</v>
      </c>
    </row>
    <row r="160" spans="2:35" x14ac:dyDescent="0.3">
      <c r="B160" s="93" t="s">
        <v>145</v>
      </c>
      <c r="D160" s="93" t="s">
        <v>106</v>
      </c>
      <c r="H160" s="93" t="s">
        <v>7</v>
      </c>
      <c r="I160" s="93" t="s">
        <v>1196</v>
      </c>
      <c r="J160" s="93">
        <v>23954</v>
      </c>
      <c r="K160" s="93" t="s">
        <v>204</v>
      </c>
      <c r="L160" s="93" t="s">
        <v>13</v>
      </c>
      <c r="T160" s="93">
        <v>2017</v>
      </c>
      <c r="W160" s="93" t="s">
        <v>21</v>
      </c>
      <c r="X160" s="93" t="s">
        <v>143</v>
      </c>
      <c r="AD160" s="93" t="s">
        <v>1441</v>
      </c>
    </row>
    <row r="161" spans="2:30" x14ac:dyDescent="0.3">
      <c r="B161" s="93" t="s">
        <v>146</v>
      </c>
      <c r="D161" s="93" t="s">
        <v>106</v>
      </c>
      <c r="H161" s="93" t="s">
        <v>7</v>
      </c>
      <c r="I161" s="93" t="s">
        <v>1196</v>
      </c>
      <c r="J161" s="93">
        <v>23954</v>
      </c>
      <c r="K161" s="93" t="s">
        <v>204</v>
      </c>
      <c r="L161" s="93" t="s">
        <v>13</v>
      </c>
      <c r="T161" s="93">
        <v>2018</v>
      </c>
      <c r="W161" s="93" t="s">
        <v>21</v>
      </c>
      <c r="X161" s="93" t="s">
        <v>143</v>
      </c>
      <c r="AD161" s="93" t="s">
        <v>1442</v>
      </c>
    </row>
    <row r="162" spans="2:30" x14ac:dyDescent="0.3">
      <c r="B162" s="93" t="s">
        <v>137</v>
      </c>
      <c r="D162" s="93" t="s">
        <v>6</v>
      </c>
      <c r="H162" s="93" t="s">
        <v>7</v>
      </c>
      <c r="I162" s="93" t="s">
        <v>1196</v>
      </c>
      <c r="J162" s="93">
        <v>23954</v>
      </c>
      <c r="K162" s="93" t="s">
        <v>204</v>
      </c>
      <c r="L162" s="93" t="s">
        <v>13</v>
      </c>
      <c r="T162" s="93">
        <v>2014</v>
      </c>
      <c r="W162" s="93" t="s">
        <v>21</v>
      </c>
      <c r="X162" s="93" t="s">
        <v>143</v>
      </c>
      <c r="AD162" s="93" t="s">
        <v>1447</v>
      </c>
    </row>
    <row r="163" spans="2:30" x14ac:dyDescent="0.3">
      <c r="B163" s="93" t="s">
        <v>138</v>
      </c>
      <c r="D163" s="93" t="s">
        <v>6</v>
      </c>
      <c r="H163" s="93" t="s">
        <v>7</v>
      </c>
      <c r="I163" s="93" t="s">
        <v>1196</v>
      </c>
      <c r="J163" s="93">
        <v>23954</v>
      </c>
      <c r="K163" s="93" t="s">
        <v>204</v>
      </c>
      <c r="L163" s="93" t="s">
        <v>13</v>
      </c>
      <c r="T163" s="93">
        <v>2014</v>
      </c>
      <c r="W163" s="93" t="s">
        <v>21</v>
      </c>
      <c r="X163" s="93" t="s">
        <v>143</v>
      </c>
      <c r="AD163" s="93" t="s">
        <v>1445</v>
      </c>
    </row>
    <row r="164" spans="2:30" x14ac:dyDescent="0.3">
      <c r="B164" s="93" t="s">
        <v>139</v>
      </c>
      <c r="D164" s="93" t="s">
        <v>6</v>
      </c>
      <c r="H164" s="93" t="s">
        <v>7</v>
      </c>
      <c r="I164" s="93" t="s">
        <v>1196</v>
      </c>
      <c r="J164" s="93">
        <v>23954</v>
      </c>
      <c r="K164" s="93" t="s">
        <v>204</v>
      </c>
      <c r="L164" s="93" t="s">
        <v>13</v>
      </c>
      <c r="T164" s="93">
        <v>2014</v>
      </c>
      <c r="W164" s="93" t="s">
        <v>21</v>
      </c>
      <c r="X164" s="93" t="s">
        <v>143</v>
      </c>
      <c r="AD164" s="93" t="s">
        <v>1444</v>
      </c>
    </row>
    <row r="165" spans="2:30" x14ac:dyDescent="0.3">
      <c r="B165" s="93" t="s">
        <v>141</v>
      </c>
      <c r="D165" s="93" t="s">
        <v>6</v>
      </c>
      <c r="H165" s="93" t="s">
        <v>7</v>
      </c>
      <c r="I165" s="93" t="s">
        <v>1196</v>
      </c>
      <c r="J165" s="93">
        <v>23954</v>
      </c>
      <c r="K165" s="93" t="s">
        <v>204</v>
      </c>
      <c r="L165" s="93" t="s">
        <v>13</v>
      </c>
      <c r="T165" s="93">
        <v>2015</v>
      </c>
      <c r="W165" s="93" t="s">
        <v>21</v>
      </c>
      <c r="X165" s="93" t="s">
        <v>143</v>
      </c>
    </row>
    <row r="166" spans="2:30" x14ac:dyDescent="0.3">
      <c r="B166" s="93" t="s">
        <v>141</v>
      </c>
      <c r="D166" s="93" t="s">
        <v>6</v>
      </c>
      <c r="H166" s="93" t="s">
        <v>7</v>
      </c>
      <c r="I166" s="93" t="s">
        <v>1196</v>
      </c>
      <c r="J166" s="93">
        <v>23954</v>
      </c>
      <c r="K166" s="93" t="s">
        <v>204</v>
      </c>
      <c r="L166" s="93" t="s">
        <v>13</v>
      </c>
      <c r="T166" s="93">
        <v>2017</v>
      </c>
      <c r="W166" s="93" t="s">
        <v>21</v>
      </c>
      <c r="X166" s="93" t="s">
        <v>143</v>
      </c>
    </row>
    <row r="167" spans="2:30" x14ac:dyDescent="0.3">
      <c r="B167" s="93" t="s">
        <v>136</v>
      </c>
      <c r="D167" s="93" t="s">
        <v>6</v>
      </c>
      <c r="H167" s="93" t="s">
        <v>7</v>
      </c>
      <c r="I167" s="93" t="s">
        <v>1196</v>
      </c>
      <c r="J167" s="93">
        <v>23954</v>
      </c>
      <c r="K167" s="93" t="s">
        <v>204</v>
      </c>
      <c r="L167" s="93" t="s">
        <v>13</v>
      </c>
      <c r="T167" s="93">
        <v>2013</v>
      </c>
      <c r="W167" s="93" t="s">
        <v>21</v>
      </c>
      <c r="X167" s="93" t="s">
        <v>143</v>
      </c>
    </row>
    <row r="168" spans="2:30" x14ac:dyDescent="0.3">
      <c r="B168" s="93" t="s">
        <v>136</v>
      </c>
      <c r="D168" s="93" t="s">
        <v>6</v>
      </c>
      <c r="H168" s="93" t="s">
        <v>7</v>
      </c>
      <c r="I168" s="93" t="s">
        <v>1196</v>
      </c>
      <c r="J168" s="93">
        <v>23954</v>
      </c>
      <c r="K168" s="93" t="s">
        <v>204</v>
      </c>
      <c r="L168" s="93" t="s">
        <v>13</v>
      </c>
      <c r="T168" s="93">
        <v>2019</v>
      </c>
      <c r="W168" s="93" t="s">
        <v>21</v>
      </c>
      <c r="X168" s="93" t="s">
        <v>143</v>
      </c>
    </row>
    <row r="169" spans="2:30" x14ac:dyDescent="0.3">
      <c r="B169" s="93" t="s">
        <v>135</v>
      </c>
      <c r="D169" s="93" t="s">
        <v>6</v>
      </c>
      <c r="H169" s="93" t="s">
        <v>7</v>
      </c>
      <c r="I169" s="93" t="s">
        <v>1196</v>
      </c>
      <c r="J169" s="93">
        <v>23954</v>
      </c>
      <c r="K169" s="93" t="s">
        <v>204</v>
      </c>
      <c r="L169" s="93" t="s">
        <v>13</v>
      </c>
      <c r="T169" s="93">
        <v>2013</v>
      </c>
      <c r="W169" s="93" t="s">
        <v>21</v>
      </c>
      <c r="X169" s="93" t="s">
        <v>143</v>
      </c>
    </row>
    <row r="170" spans="2:30" x14ac:dyDescent="0.3">
      <c r="B170" s="93" t="s">
        <v>135</v>
      </c>
      <c r="D170" s="93" t="s">
        <v>6</v>
      </c>
      <c r="H170" s="93" t="s">
        <v>7</v>
      </c>
      <c r="I170" s="93" t="s">
        <v>1196</v>
      </c>
      <c r="J170" s="93">
        <v>23954</v>
      </c>
      <c r="K170" s="93" t="s">
        <v>204</v>
      </c>
      <c r="L170" s="93" t="s">
        <v>13</v>
      </c>
      <c r="T170" s="93">
        <v>2017</v>
      </c>
      <c r="W170" s="93" t="s">
        <v>21</v>
      </c>
      <c r="X170" s="93" t="s">
        <v>143</v>
      </c>
    </row>
    <row r="171" spans="2:30" x14ac:dyDescent="0.3">
      <c r="B171" s="93" t="s">
        <v>134</v>
      </c>
      <c r="D171" s="93" t="s">
        <v>6</v>
      </c>
      <c r="H171" s="93" t="s">
        <v>7</v>
      </c>
      <c r="I171" s="93" t="s">
        <v>1196</v>
      </c>
      <c r="J171" s="93">
        <v>23954</v>
      </c>
      <c r="K171" s="93" t="s">
        <v>204</v>
      </c>
      <c r="L171" s="93" t="s">
        <v>13</v>
      </c>
      <c r="T171" s="93">
        <v>2013</v>
      </c>
      <c r="W171" s="93" t="s">
        <v>21</v>
      </c>
      <c r="X171" s="93" t="s">
        <v>143</v>
      </c>
    </row>
    <row r="172" spans="2:30" x14ac:dyDescent="0.3">
      <c r="B172" s="93" t="s">
        <v>134</v>
      </c>
      <c r="D172" s="93" t="s">
        <v>6</v>
      </c>
      <c r="H172" s="93" t="s">
        <v>7</v>
      </c>
      <c r="I172" s="93" t="s">
        <v>1196</v>
      </c>
      <c r="J172" s="93">
        <v>23954</v>
      </c>
      <c r="K172" s="93" t="s">
        <v>204</v>
      </c>
      <c r="L172" s="93" t="s">
        <v>13</v>
      </c>
      <c r="T172" s="93">
        <v>2016</v>
      </c>
      <c r="W172" s="93" t="s">
        <v>21</v>
      </c>
      <c r="X172" s="93" t="s">
        <v>143</v>
      </c>
    </row>
    <row r="173" spans="2:30" x14ac:dyDescent="0.3">
      <c r="B173" s="93" t="s">
        <v>133</v>
      </c>
      <c r="D173" s="93" t="s">
        <v>6</v>
      </c>
      <c r="H173" s="93" t="s">
        <v>7</v>
      </c>
      <c r="I173" s="93" t="s">
        <v>1196</v>
      </c>
      <c r="J173" s="93">
        <v>23954</v>
      </c>
      <c r="K173" s="93" t="s">
        <v>204</v>
      </c>
      <c r="L173" s="93" t="s">
        <v>13</v>
      </c>
      <c r="T173" s="93">
        <v>2013</v>
      </c>
      <c r="W173" s="93" t="s">
        <v>21</v>
      </c>
      <c r="X173" s="93" t="s">
        <v>143</v>
      </c>
    </row>
    <row r="174" spans="2:30" x14ac:dyDescent="0.3">
      <c r="B174" s="93" t="s">
        <v>133</v>
      </c>
      <c r="D174" s="93" t="s">
        <v>6</v>
      </c>
      <c r="H174" s="93" t="s">
        <v>7</v>
      </c>
      <c r="I174" s="93" t="s">
        <v>1196</v>
      </c>
      <c r="J174" s="93">
        <v>23954</v>
      </c>
      <c r="K174" s="93" t="s">
        <v>204</v>
      </c>
      <c r="L174" s="93" t="s">
        <v>13</v>
      </c>
      <c r="T174" s="93">
        <v>2015</v>
      </c>
      <c r="W174" s="93" t="s">
        <v>21</v>
      </c>
      <c r="X174" s="93" t="s">
        <v>143</v>
      </c>
    </row>
    <row r="175" spans="2:30" x14ac:dyDescent="0.3">
      <c r="B175" s="93" t="s">
        <v>132</v>
      </c>
      <c r="D175" s="93" t="s">
        <v>6</v>
      </c>
      <c r="H175" s="93" t="s">
        <v>7</v>
      </c>
      <c r="I175" s="93" t="s">
        <v>1196</v>
      </c>
      <c r="J175" s="93">
        <v>23954</v>
      </c>
      <c r="K175" s="93" t="s">
        <v>204</v>
      </c>
      <c r="L175" s="93" t="s">
        <v>13</v>
      </c>
      <c r="T175" s="93">
        <v>2014</v>
      </c>
      <c r="W175" s="93" t="s">
        <v>7</v>
      </c>
      <c r="X175" s="93" t="s">
        <v>131</v>
      </c>
    </row>
    <row r="176" spans="2:30" x14ac:dyDescent="0.3">
      <c r="B176" s="93" t="s">
        <v>142</v>
      </c>
      <c r="D176" s="93" t="s">
        <v>6</v>
      </c>
      <c r="H176" s="93" t="s">
        <v>7</v>
      </c>
      <c r="I176" s="93" t="s">
        <v>1196</v>
      </c>
      <c r="J176" s="93">
        <v>23954</v>
      </c>
      <c r="K176" s="93" t="s">
        <v>204</v>
      </c>
      <c r="L176" s="93" t="s">
        <v>13</v>
      </c>
      <c r="T176" s="93">
        <v>2015</v>
      </c>
      <c r="W176" s="93" t="s">
        <v>21</v>
      </c>
      <c r="X176" s="93" t="s">
        <v>143</v>
      </c>
    </row>
    <row r="177" spans="2:34" x14ac:dyDescent="0.3">
      <c r="B177" s="93" t="s">
        <v>142</v>
      </c>
      <c r="D177" s="93" t="s">
        <v>6</v>
      </c>
      <c r="H177" s="93" t="s">
        <v>7</v>
      </c>
      <c r="I177" s="93" t="s">
        <v>1196</v>
      </c>
      <c r="J177" s="93">
        <v>23954</v>
      </c>
      <c r="K177" s="93" t="s">
        <v>204</v>
      </c>
      <c r="L177" s="93" t="s">
        <v>13</v>
      </c>
      <c r="T177" s="93">
        <v>2020</v>
      </c>
      <c r="W177" s="93" t="s">
        <v>21</v>
      </c>
      <c r="X177" s="93" t="s">
        <v>143</v>
      </c>
    </row>
    <row r="178" spans="2:34" x14ac:dyDescent="0.3">
      <c r="B178" s="93" t="s">
        <v>140</v>
      </c>
      <c r="D178" s="93" t="s">
        <v>6</v>
      </c>
      <c r="H178" s="93" t="s">
        <v>7</v>
      </c>
      <c r="I178" s="93" t="s">
        <v>1196</v>
      </c>
      <c r="J178" s="93">
        <v>23954</v>
      </c>
      <c r="K178" s="93" t="s">
        <v>204</v>
      </c>
      <c r="L178" s="93" t="s">
        <v>13</v>
      </c>
      <c r="T178" s="93">
        <v>2015</v>
      </c>
      <c r="W178" s="93" t="s">
        <v>21</v>
      </c>
      <c r="X178" s="93" t="s">
        <v>143</v>
      </c>
    </row>
    <row r="179" spans="2:34" x14ac:dyDescent="0.3">
      <c r="B179" s="93" t="s">
        <v>140</v>
      </c>
      <c r="D179" s="93" t="s">
        <v>6</v>
      </c>
      <c r="H179" s="93" t="s">
        <v>7</v>
      </c>
      <c r="I179" s="93" t="s">
        <v>1196</v>
      </c>
      <c r="J179" s="93">
        <v>23954</v>
      </c>
      <c r="K179" s="93" t="s">
        <v>204</v>
      </c>
      <c r="L179" s="93" t="s">
        <v>13</v>
      </c>
      <c r="T179" s="93">
        <v>2018</v>
      </c>
      <c r="W179" s="93" t="s">
        <v>21</v>
      </c>
      <c r="X179" s="93" t="s">
        <v>143</v>
      </c>
    </row>
    <row r="180" spans="2:34" x14ac:dyDescent="0.3">
      <c r="B180" s="93" t="s">
        <v>147</v>
      </c>
      <c r="D180" s="93" t="s">
        <v>106</v>
      </c>
      <c r="H180" s="93" t="s">
        <v>7</v>
      </c>
      <c r="I180" s="93" t="s">
        <v>1252</v>
      </c>
      <c r="J180" s="93" t="s">
        <v>218</v>
      </c>
      <c r="K180" s="93" t="s">
        <v>205</v>
      </c>
      <c r="L180" s="93" t="s">
        <v>149</v>
      </c>
      <c r="T180" s="93">
        <v>2022</v>
      </c>
      <c r="W180" s="93" t="s">
        <v>21</v>
      </c>
      <c r="X180" s="93" t="s">
        <v>143</v>
      </c>
      <c r="AD180" s="93" t="s">
        <v>1443</v>
      </c>
    </row>
    <row r="181" spans="2:34" x14ac:dyDescent="0.3">
      <c r="B181" s="93" t="s">
        <v>144</v>
      </c>
      <c r="D181" s="93" t="s">
        <v>106</v>
      </c>
      <c r="H181" s="93" t="s">
        <v>7</v>
      </c>
      <c r="I181" s="93" t="s">
        <v>1197</v>
      </c>
      <c r="J181" s="93" t="s">
        <v>220</v>
      </c>
      <c r="K181" s="93" t="s">
        <v>219</v>
      </c>
      <c r="L181" s="93" t="s">
        <v>148</v>
      </c>
      <c r="T181" s="93">
        <v>2016</v>
      </c>
      <c r="W181" s="93" t="s">
        <v>21</v>
      </c>
      <c r="X181" s="93" t="s">
        <v>143</v>
      </c>
      <c r="AD181" s="93" t="s">
        <v>1446</v>
      </c>
    </row>
    <row r="182" spans="2:34" x14ac:dyDescent="0.3">
      <c r="B182" s="93" t="s">
        <v>37</v>
      </c>
      <c r="D182" s="93" t="s">
        <v>6</v>
      </c>
      <c r="H182" s="93" t="s">
        <v>7</v>
      </c>
      <c r="I182" s="93" t="s">
        <v>38</v>
      </c>
      <c r="J182" s="93">
        <v>17337</v>
      </c>
      <c r="K182" s="93" t="s">
        <v>204</v>
      </c>
      <c r="L182" s="93" t="s">
        <v>13</v>
      </c>
      <c r="T182" s="93">
        <v>1987</v>
      </c>
      <c r="W182" s="93" t="s">
        <v>21</v>
      </c>
      <c r="X182" s="93" t="s">
        <v>39</v>
      </c>
    </row>
    <row r="183" spans="2:34" x14ac:dyDescent="0.3">
      <c r="B183" s="93" t="s">
        <v>72</v>
      </c>
      <c r="D183" s="93" t="s">
        <v>6</v>
      </c>
      <c r="H183" s="93" t="s">
        <v>65</v>
      </c>
      <c r="I183" s="93" t="s">
        <v>63</v>
      </c>
      <c r="J183" s="93">
        <v>17705</v>
      </c>
      <c r="K183" s="93" t="s">
        <v>204</v>
      </c>
      <c r="L183" s="93" t="s">
        <v>64</v>
      </c>
      <c r="T183" s="93">
        <v>2014</v>
      </c>
      <c r="W183" s="93" t="s">
        <v>21</v>
      </c>
      <c r="X183" s="93" t="s">
        <v>66</v>
      </c>
    </row>
    <row r="184" spans="2:34" x14ac:dyDescent="0.3">
      <c r="B184" s="93" t="s">
        <v>67</v>
      </c>
      <c r="D184" s="93" t="s">
        <v>6</v>
      </c>
      <c r="H184" s="93" t="s">
        <v>65</v>
      </c>
      <c r="I184" s="93" t="s">
        <v>63</v>
      </c>
      <c r="J184" s="93">
        <v>17705</v>
      </c>
      <c r="K184" s="93" t="s">
        <v>204</v>
      </c>
      <c r="L184" s="93" t="s">
        <v>64</v>
      </c>
      <c r="T184" s="93">
        <v>2010</v>
      </c>
      <c r="W184" s="93" t="s">
        <v>21</v>
      </c>
      <c r="X184" s="93" t="s">
        <v>66</v>
      </c>
    </row>
    <row r="185" spans="2:34" x14ac:dyDescent="0.3">
      <c r="B185" s="93" t="s">
        <v>674</v>
      </c>
      <c r="D185" s="93" t="s">
        <v>6</v>
      </c>
      <c r="H185" s="93" t="s">
        <v>65</v>
      </c>
      <c r="I185" s="93" t="s">
        <v>63</v>
      </c>
      <c r="J185" s="93">
        <v>17705</v>
      </c>
      <c r="K185" s="93" t="s">
        <v>204</v>
      </c>
      <c r="L185" s="93" t="s">
        <v>64</v>
      </c>
      <c r="T185" s="93">
        <v>2012</v>
      </c>
      <c r="W185" s="93" t="s">
        <v>21</v>
      </c>
      <c r="X185" s="93" t="s">
        <v>66</v>
      </c>
    </row>
    <row r="186" spans="2:34" x14ac:dyDescent="0.3">
      <c r="B186" s="93" t="s">
        <v>73</v>
      </c>
      <c r="D186" s="93" t="s">
        <v>6</v>
      </c>
      <c r="H186" s="93" t="s">
        <v>65</v>
      </c>
      <c r="I186" s="93" t="s">
        <v>63</v>
      </c>
      <c r="J186" s="93">
        <v>17705</v>
      </c>
      <c r="K186" s="93" t="s">
        <v>204</v>
      </c>
      <c r="L186" s="93" t="s">
        <v>64</v>
      </c>
      <c r="T186" s="93">
        <v>2013</v>
      </c>
      <c r="W186" s="93" t="s">
        <v>21</v>
      </c>
      <c r="X186" s="93" t="s">
        <v>66</v>
      </c>
    </row>
    <row r="187" spans="2:34" x14ac:dyDescent="0.3">
      <c r="B187" s="93" t="s">
        <v>70</v>
      </c>
      <c r="D187" s="93" t="s">
        <v>6</v>
      </c>
      <c r="H187" s="93" t="s">
        <v>65</v>
      </c>
      <c r="I187" s="93" t="s">
        <v>63</v>
      </c>
      <c r="J187" s="93">
        <v>17705</v>
      </c>
      <c r="K187" s="93" t="s">
        <v>204</v>
      </c>
      <c r="L187" s="93" t="s">
        <v>64</v>
      </c>
      <c r="T187" s="93">
        <v>2015</v>
      </c>
      <c r="W187" s="93" t="s">
        <v>21</v>
      </c>
      <c r="X187" s="93" t="s">
        <v>66</v>
      </c>
    </row>
    <row r="188" spans="2:34" x14ac:dyDescent="0.3">
      <c r="B188" s="93" t="s">
        <v>68</v>
      </c>
      <c r="D188" s="93" t="s">
        <v>6</v>
      </c>
      <c r="H188" s="93" t="s">
        <v>65</v>
      </c>
      <c r="I188" s="93" t="s">
        <v>63</v>
      </c>
      <c r="J188" s="93">
        <v>17705</v>
      </c>
      <c r="K188" s="93" t="s">
        <v>204</v>
      </c>
      <c r="L188" s="93" t="s">
        <v>64</v>
      </c>
      <c r="T188" s="93">
        <v>2011</v>
      </c>
      <c r="W188" s="93" t="s">
        <v>21</v>
      </c>
      <c r="X188" s="93" t="s">
        <v>66</v>
      </c>
    </row>
    <row r="189" spans="2:34" x14ac:dyDescent="0.3">
      <c r="B189" s="93" t="s">
        <v>69</v>
      </c>
      <c r="D189" s="93" t="s">
        <v>6</v>
      </c>
      <c r="H189" s="93" t="s">
        <v>65</v>
      </c>
      <c r="I189" s="93" t="s">
        <v>63</v>
      </c>
      <c r="J189" s="93">
        <v>17705</v>
      </c>
      <c r="K189" s="93" t="s">
        <v>204</v>
      </c>
      <c r="L189" s="93" t="s">
        <v>64</v>
      </c>
      <c r="T189" s="93">
        <v>2016</v>
      </c>
      <c r="W189" s="93" t="s">
        <v>21</v>
      </c>
      <c r="X189" s="93" t="s">
        <v>66</v>
      </c>
    </row>
    <row r="190" spans="2:34" x14ac:dyDescent="0.3">
      <c r="B190" s="93" t="s">
        <v>71</v>
      </c>
      <c r="D190" s="93" t="s">
        <v>6</v>
      </c>
      <c r="H190" s="93" t="s">
        <v>65</v>
      </c>
      <c r="I190" s="93" t="s">
        <v>63</v>
      </c>
      <c r="J190" s="93">
        <v>17705</v>
      </c>
      <c r="K190" s="93" t="s">
        <v>204</v>
      </c>
      <c r="L190" s="93" t="s">
        <v>64</v>
      </c>
      <c r="T190" s="93">
        <v>2015</v>
      </c>
      <c r="W190" s="93" t="s">
        <v>21</v>
      </c>
      <c r="X190" s="93" t="s">
        <v>66</v>
      </c>
    </row>
    <row r="191" spans="2:34" x14ac:dyDescent="0.3">
      <c r="B191" s="93" t="s">
        <v>272</v>
      </c>
      <c r="C191" s="93" t="s">
        <v>649</v>
      </c>
      <c r="D191" s="93" t="s">
        <v>6</v>
      </c>
      <c r="E191" s="93" t="s">
        <v>81</v>
      </c>
      <c r="F191" s="93" t="s">
        <v>653</v>
      </c>
      <c r="G191" s="93">
        <v>1991</v>
      </c>
      <c r="H191" s="93" t="s">
        <v>271</v>
      </c>
      <c r="I191" s="93" t="s">
        <v>270</v>
      </c>
      <c r="J191" s="93">
        <v>8356</v>
      </c>
      <c r="K191" s="93">
        <v>40347</v>
      </c>
      <c r="L191" s="93" t="s">
        <v>271</v>
      </c>
      <c r="M191" s="93" t="s">
        <v>617</v>
      </c>
      <c r="N191" s="93" t="s">
        <v>650</v>
      </c>
      <c r="O191" s="93" t="s">
        <v>1268</v>
      </c>
      <c r="T191" s="93">
        <v>2010</v>
      </c>
      <c r="W191" s="93" t="s">
        <v>21</v>
      </c>
      <c r="X191" s="93" t="s">
        <v>159</v>
      </c>
      <c r="AB191" s="93" t="s">
        <v>651</v>
      </c>
      <c r="AC191" s="93">
        <v>351</v>
      </c>
      <c r="AG191" s="93" t="s">
        <v>652</v>
      </c>
      <c r="AH191" s="93">
        <v>4.95</v>
      </c>
    </row>
    <row r="192" spans="2:34" x14ac:dyDescent="0.3">
      <c r="B192" s="93" t="s">
        <v>856</v>
      </c>
      <c r="C192" s="93" t="s">
        <v>856</v>
      </c>
      <c r="D192" s="93" t="s">
        <v>6</v>
      </c>
      <c r="E192" s="93" t="s">
        <v>81</v>
      </c>
      <c r="F192" s="93" t="s">
        <v>859</v>
      </c>
      <c r="G192" s="93">
        <v>1923</v>
      </c>
      <c r="H192" s="93" t="s">
        <v>21</v>
      </c>
      <c r="I192" s="93" t="s">
        <v>1212</v>
      </c>
      <c r="J192" s="93" t="s">
        <v>858</v>
      </c>
      <c r="K192" s="93">
        <v>10484</v>
      </c>
      <c r="L192" s="93" t="s">
        <v>22</v>
      </c>
      <c r="M192" s="93" t="s">
        <v>617</v>
      </c>
      <c r="N192" s="93" t="s">
        <v>1268</v>
      </c>
      <c r="O192" s="93" t="s">
        <v>1268</v>
      </c>
      <c r="T192" s="93">
        <v>1993</v>
      </c>
      <c r="W192" s="93" t="s">
        <v>21</v>
      </c>
      <c r="X192" s="93" t="s">
        <v>159</v>
      </c>
      <c r="AB192" s="93" t="s">
        <v>857</v>
      </c>
      <c r="AC192" s="93">
        <v>413</v>
      </c>
      <c r="AG192" s="93" t="s">
        <v>682</v>
      </c>
      <c r="AH192" s="93">
        <v>10</v>
      </c>
    </row>
    <row r="193" spans="2:38" x14ac:dyDescent="0.3">
      <c r="B193" s="93" t="s">
        <v>27</v>
      </c>
      <c r="D193" s="93" t="s">
        <v>6</v>
      </c>
      <c r="H193" s="93" t="s">
        <v>7</v>
      </c>
      <c r="I193" s="93" t="s">
        <v>28</v>
      </c>
      <c r="J193" s="93">
        <v>31965</v>
      </c>
      <c r="K193" s="93" t="s">
        <v>204</v>
      </c>
      <c r="L193" s="93" t="s">
        <v>14</v>
      </c>
      <c r="T193" s="93">
        <v>2020</v>
      </c>
      <c r="W193" s="93" t="s">
        <v>21</v>
      </c>
      <c r="X193" s="93" t="s">
        <v>8</v>
      </c>
    </row>
    <row r="194" spans="2:38" x14ac:dyDescent="0.3">
      <c r="B194" s="93" t="s">
        <v>874</v>
      </c>
      <c r="C194" s="93" t="s">
        <v>874</v>
      </c>
      <c r="D194" s="93" t="s">
        <v>6</v>
      </c>
      <c r="E194" s="93" t="s">
        <v>81</v>
      </c>
      <c r="F194" s="93" t="s">
        <v>877</v>
      </c>
      <c r="G194" s="93">
        <v>1961</v>
      </c>
      <c r="H194" s="93" t="s">
        <v>21</v>
      </c>
      <c r="I194" s="93" t="s">
        <v>876</v>
      </c>
      <c r="J194" s="93">
        <v>7679</v>
      </c>
      <c r="K194" s="93">
        <v>32832</v>
      </c>
      <c r="L194" s="93" t="s">
        <v>22</v>
      </c>
      <c r="M194" s="93" t="s">
        <v>617</v>
      </c>
      <c r="N194" s="93" t="s">
        <v>1268</v>
      </c>
      <c r="O194" s="93" t="s">
        <v>1268</v>
      </c>
      <c r="T194" s="93">
        <v>1993</v>
      </c>
      <c r="W194" s="93" t="s">
        <v>21</v>
      </c>
      <c r="X194" s="93" t="s">
        <v>269</v>
      </c>
      <c r="AB194" s="93" t="s">
        <v>875</v>
      </c>
      <c r="AC194" s="93">
        <v>117</v>
      </c>
      <c r="AG194" s="93" t="s">
        <v>669</v>
      </c>
      <c r="AH194" s="93">
        <v>9</v>
      </c>
    </row>
    <row r="195" spans="2:38" x14ac:dyDescent="0.3">
      <c r="B195" s="93" t="s">
        <v>388</v>
      </c>
      <c r="D195" s="93" t="s">
        <v>106</v>
      </c>
      <c r="H195" s="93" t="s">
        <v>7</v>
      </c>
      <c r="I195" s="93" t="s">
        <v>385</v>
      </c>
      <c r="J195" s="93" t="s">
        <v>387</v>
      </c>
      <c r="K195" s="93">
        <v>18569</v>
      </c>
      <c r="L195" s="93" t="s">
        <v>386</v>
      </c>
      <c r="T195" s="93">
        <v>2019</v>
      </c>
      <c r="W195" s="93" t="s">
        <v>21</v>
      </c>
      <c r="X195" s="93" t="s">
        <v>8</v>
      </c>
    </row>
    <row r="196" spans="2:38" x14ac:dyDescent="0.3">
      <c r="B196" s="93" t="s">
        <v>817</v>
      </c>
      <c r="C196" s="93" t="s">
        <v>821</v>
      </c>
      <c r="D196" s="93" t="s">
        <v>6</v>
      </c>
      <c r="E196" s="93" t="s">
        <v>744</v>
      </c>
      <c r="F196" s="93" t="s">
        <v>823</v>
      </c>
      <c r="G196" s="93" t="s">
        <v>822</v>
      </c>
      <c r="H196" s="93" t="s">
        <v>341</v>
      </c>
      <c r="I196" s="93" t="s">
        <v>818</v>
      </c>
      <c r="J196" s="93" t="s">
        <v>820</v>
      </c>
      <c r="K196" s="93">
        <v>23531</v>
      </c>
      <c r="L196" s="93" t="s">
        <v>341</v>
      </c>
      <c r="M196" s="93" t="s">
        <v>617</v>
      </c>
      <c r="N196" s="93" t="s">
        <v>819</v>
      </c>
      <c r="O196" s="93" t="s">
        <v>1268</v>
      </c>
      <c r="T196" s="93">
        <v>1969</v>
      </c>
      <c r="W196" s="93" t="s">
        <v>21</v>
      </c>
      <c r="X196" s="93" t="s">
        <v>740</v>
      </c>
      <c r="AC196" s="93">
        <v>702</v>
      </c>
      <c r="AG196" s="93" t="s">
        <v>741</v>
      </c>
      <c r="AH196" s="93">
        <v>31.359400000000001</v>
      </c>
      <c r="AI196" s="93" t="s">
        <v>1348</v>
      </c>
    </row>
    <row r="197" spans="2:38" x14ac:dyDescent="0.3">
      <c r="B197" s="93" t="s">
        <v>396</v>
      </c>
      <c r="D197" s="93" t="s">
        <v>6</v>
      </c>
      <c r="H197" s="93" t="s">
        <v>7</v>
      </c>
      <c r="I197" s="93" t="s">
        <v>393</v>
      </c>
      <c r="J197" s="93" t="s">
        <v>394</v>
      </c>
      <c r="K197" s="93" t="s">
        <v>395</v>
      </c>
      <c r="L197" s="93" t="s">
        <v>13</v>
      </c>
      <c r="T197" s="93">
        <v>2016</v>
      </c>
      <c r="W197" s="93" t="s">
        <v>21</v>
      </c>
      <c r="X197" s="93" t="s">
        <v>8</v>
      </c>
    </row>
    <row r="198" spans="2:38" x14ac:dyDescent="0.3">
      <c r="B198" s="93" t="s">
        <v>1302</v>
      </c>
      <c r="C198" s="93" t="s">
        <v>1310</v>
      </c>
      <c r="D198" s="93" t="s">
        <v>6</v>
      </c>
      <c r="E198" s="93" t="s">
        <v>80</v>
      </c>
      <c r="F198" s="93" t="s">
        <v>1314</v>
      </c>
      <c r="G198" s="93">
        <v>1879</v>
      </c>
      <c r="H198" s="93" t="s">
        <v>7</v>
      </c>
      <c r="I198" s="93" t="s">
        <v>1311</v>
      </c>
      <c r="J198" s="93" t="s">
        <v>1312</v>
      </c>
      <c r="K198" s="93" t="s">
        <v>1313</v>
      </c>
      <c r="L198" s="93" t="s">
        <v>233</v>
      </c>
      <c r="M198" s="93" t="s">
        <v>617</v>
      </c>
      <c r="N198" s="93" t="s">
        <v>1268</v>
      </c>
      <c r="O198" s="93" t="s">
        <v>1268</v>
      </c>
      <c r="P198" s="93" t="s">
        <v>1303</v>
      </c>
      <c r="Q198" s="93" t="s">
        <v>1304</v>
      </c>
      <c r="R198" s="93" t="s">
        <v>1303</v>
      </c>
      <c r="T198" s="93">
        <v>2012</v>
      </c>
      <c r="U198" s="93">
        <v>2012</v>
      </c>
      <c r="W198" s="93" t="s">
        <v>21</v>
      </c>
      <c r="X198" s="93" t="s">
        <v>1305</v>
      </c>
      <c r="Y198" s="93" t="s">
        <v>1309</v>
      </c>
      <c r="Z198" s="93" t="s">
        <v>1306</v>
      </c>
      <c r="AB198" s="93" t="s">
        <v>1307</v>
      </c>
      <c r="AC198" s="93">
        <v>167</v>
      </c>
      <c r="AE198" s="93" t="s">
        <v>1090</v>
      </c>
      <c r="AF198" s="93" t="s">
        <v>1178</v>
      </c>
      <c r="AG198" s="93" t="s">
        <v>624</v>
      </c>
      <c r="AH198" s="93">
        <v>13</v>
      </c>
      <c r="AL198" s="93" t="s">
        <v>1231</v>
      </c>
    </row>
    <row r="199" spans="2:38" x14ac:dyDescent="0.3">
      <c r="B199" s="93" t="s">
        <v>112</v>
      </c>
      <c r="D199" s="93" t="s">
        <v>6</v>
      </c>
      <c r="H199" s="93" t="s">
        <v>7</v>
      </c>
      <c r="I199" s="93" t="s">
        <v>74</v>
      </c>
      <c r="J199" s="93" t="s">
        <v>208</v>
      </c>
      <c r="K199" s="93">
        <v>26909</v>
      </c>
      <c r="L199" s="93" t="s">
        <v>13</v>
      </c>
      <c r="T199" s="93">
        <v>2019</v>
      </c>
      <c r="W199" s="93" t="s">
        <v>21</v>
      </c>
      <c r="X199" s="93" t="s">
        <v>111</v>
      </c>
    </row>
    <row r="200" spans="2:38" x14ac:dyDescent="0.3">
      <c r="B200" s="93" t="s">
        <v>124</v>
      </c>
      <c r="D200" s="93" t="s">
        <v>6</v>
      </c>
      <c r="H200" s="93" t="s">
        <v>7</v>
      </c>
      <c r="I200" s="93" t="s">
        <v>74</v>
      </c>
      <c r="J200" s="93" t="s">
        <v>208</v>
      </c>
      <c r="K200" s="93">
        <v>26909</v>
      </c>
      <c r="L200" s="93" t="s">
        <v>13</v>
      </c>
      <c r="T200" s="93">
        <v>2007</v>
      </c>
      <c r="W200" s="93" t="s">
        <v>21</v>
      </c>
      <c r="X200" s="93" t="s">
        <v>111</v>
      </c>
    </row>
    <row r="201" spans="2:38" x14ac:dyDescent="0.3">
      <c r="B201" s="93" t="s">
        <v>122</v>
      </c>
      <c r="D201" s="93" t="s">
        <v>6</v>
      </c>
      <c r="H201" s="93" t="s">
        <v>7</v>
      </c>
      <c r="I201" s="93" t="s">
        <v>74</v>
      </c>
      <c r="J201" s="93" t="s">
        <v>208</v>
      </c>
      <c r="K201" s="93">
        <v>26909</v>
      </c>
      <c r="L201" s="93" t="s">
        <v>13</v>
      </c>
      <c r="T201" s="93">
        <v>2007</v>
      </c>
      <c r="W201" s="93" t="s">
        <v>21</v>
      </c>
      <c r="X201" s="93" t="s">
        <v>111</v>
      </c>
    </row>
    <row r="202" spans="2:38" x14ac:dyDescent="0.3">
      <c r="B202" s="93" t="s">
        <v>123</v>
      </c>
      <c r="D202" s="93" t="s">
        <v>6</v>
      </c>
      <c r="H202" s="93" t="s">
        <v>7</v>
      </c>
      <c r="I202" s="93" t="s">
        <v>74</v>
      </c>
      <c r="J202" s="93" t="s">
        <v>208</v>
      </c>
      <c r="K202" s="93">
        <v>26909</v>
      </c>
      <c r="L202" s="93" t="s">
        <v>13</v>
      </c>
      <c r="T202" s="93">
        <v>2007</v>
      </c>
      <c r="W202" s="93" t="s">
        <v>21</v>
      </c>
      <c r="X202" s="93" t="s">
        <v>111</v>
      </c>
    </row>
    <row r="203" spans="2:38" x14ac:dyDescent="0.3">
      <c r="B203" s="93" t="s">
        <v>114</v>
      </c>
      <c r="D203" s="93" t="s">
        <v>82</v>
      </c>
      <c r="H203" s="93" t="s">
        <v>7</v>
      </c>
      <c r="I203" s="93" t="s">
        <v>74</v>
      </c>
      <c r="J203" s="93" t="s">
        <v>208</v>
      </c>
      <c r="K203" s="93">
        <v>26909</v>
      </c>
      <c r="L203" s="93" t="s">
        <v>13</v>
      </c>
      <c r="T203" s="93">
        <v>2018</v>
      </c>
      <c r="W203" s="93" t="s">
        <v>21</v>
      </c>
      <c r="X203" s="93" t="s">
        <v>111</v>
      </c>
    </row>
    <row r="204" spans="2:38" x14ac:dyDescent="0.3">
      <c r="B204" s="93" t="s">
        <v>113</v>
      </c>
      <c r="D204" s="93" t="s">
        <v>6</v>
      </c>
      <c r="H204" s="93" t="s">
        <v>7</v>
      </c>
      <c r="I204" s="93" t="s">
        <v>74</v>
      </c>
      <c r="J204" s="93" t="s">
        <v>208</v>
      </c>
      <c r="K204" s="93">
        <v>26909</v>
      </c>
      <c r="L204" s="93" t="s">
        <v>13</v>
      </c>
      <c r="T204" s="93">
        <v>2017</v>
      </c>
      <c r="W204" s="93" t="s">
        <v>21</v>
      </c>
      <c r="X204" s="93" t="s">
        <v>111</v>
      </c>
    </row>
    <row r="205" spans="2:38" x14ac:dyDescent="0.3">
      <c r="B205" s="93" t="s">
        <v>1288</v>
      </c>
      <c r="C205" s="93" t="s">
        <v>1289</v>
      </c>
      <c r="D205" s="93" t="s">
        <v>6</v>
      </c>
      <c r="E205" s="93" t="s">
        <v>81</v>
      </c>
      <c r="F205" s="93" t="s">
        <v>1296</v>
      </c>
      <c r="G205" s="93">
        <v>1878</v>
      </c>
      <c r="H205" s="93" t="s">
        <v>254</v>
      </c>
      <c r="I205" s="93" t="s">
        <v>1293</v>
      </c>
      <c r="J205" s="93" t="s">
        <v>1292</v>
      </c>
      <c r="K205" s="93">
        <v>3977</v>
      </c>
      <c r="L205" s="93" t="s">
        <v>255</v>
      </c>
      <c r="M205" s="93" t="s">
        <v>617</v>
      </c>
      <c r="N205" s="93" t="s">
        <v>1268</v>
      </c>
      <c r="O205" s="93" t="s">
        <v>1268</v>
      </c>
      <c r="R205" s="93" t="s">
        <v>1294</v>
      </c>
      <c r="T205" s="93">
        <v>1965</v>
      </c>
      <c r="U205" s="93">
        <v>2023</v>
      </c>
      <c r="V205" s="93" t="s">
        <v>1299</v>
      </c>
      <c r="W205" s="93" t="s">
        <v>21</v>
      </c>
      <c r="X205" s="93" t="s">
        <v>39</v>
      </c>
      <c r="Y205" s="93" t="s">
        <v>1259</v>
      </c>
      <c r="Z205" s="93" t="s">
        <v>1295</v>
      </c>
      <c r="AB205" s="93" t="s">
        <v>1308</v>
      </c>
      <c r="AC205" s="93">
        <v>823</v>
      </c>
      <c r="AE205" s="93" t="s">
        <v>1091</v>
      </c>
      <c r="AF205" s="93" t="s">
        <v>1178</v>
      </c>
      <c r="AG205" s="93" t="s">
        <v>1039</v>
      </c>
      <c r="AH205" s="93">
        <v>12</v>
      </c>
      <c r="AL205" s="93" t="s">
        <v>1227</v>
      </c>
    </row>
    <row r="206" spans="2:38" x14ac:dyDescent="0.3">
      <c r="B206" s="93" t="s">
        <v>121</v>
      </c>
      <c r="D206" s="93" t="s">
        <v>6</v>
      </c>
      <c r="H206" s="93" t="s">
        <v>21</v>
      </c>
      <c r="I206" s="93" t="s">
        <v>43</v>
      </c>
      <c r="J206" s="93">
        <v>29550</v>
      </c>
      <c r="K206" s="93" t="s">
        <v>204</v>
      </c>
      <c r="L206" s="93" t="s">
        <v>22</v>
      </c>
      <c r="T206" s="93">
        <v>2006</v>
      </c>
      <c r="W206" s="93" t="s">
        <v>21</v>
      </c>
      <c r="X206" s="93" t="s">
        <v>8</v>
      </c>
    </row>
    <row r="207" spans="2:38" x14ac:dyDescent="0.3">
      <c r="B207" s="93" t="s">
        <v>160</v>
      </c>
      <c r="C207" s="93" t="s">
        <v>694</v>
      </c>
      <c r="D207" s="93" t="s">
        <v>6</v>
      </c>
      <c r="E207" s="93" t="s">
        <v>81</v>
      </c>
      <c r="F207" s="93" t="s">
        <v>695</v>
      </c>
      <c r="G207" s="93">
        <v>1971</v>
      </c>
      <c r="H207" s="93" t="s">
        <v>7</v>
      </c>
      <c r="I207" s="93" t="s">
        <v>158</v>
      </c>
      <c r="J207" s="93">
        <v>385</v>
      </c>
      <c r="K207" s="93">
        <v>31148</v>
      </c>
      <c r="L207" s="93" t="s">
        <v>1253</v>
      </c>
      <c r="M207" s="93" t="s">
        <v>617</v>
      </c>
      <c r="N207" s="93" t="s">
        <v>1268</v>
      </c>
      <c r="O207" s="93" t="s">
        <v>1268</v>
      </c>
      <c r="T207" s="93">
        <v>1988</v>
      </c>
      <c r="W207" s="93" t="s">
        <v>21</v>
      </c>
      <c r="X207" s="93" t="s">
        <v>159</v>
      </c>
      <c r="AB207" s="93" t="s">
        <v>693</v>
      </c>
      <c r="AC207" s="93">
        <v>92</v>
      </c>
      <c r="AG207" s="93" t="s">
        <v>692</v>
      </c>
      <c r="AH207" s="93">
        <v>7.5</v>
      </c>
    </row>
    <row r="208" spans="2:38" x14ac:dyDescent="0.3">
      <c r="B208" s="93" t="s">
        <v>780</v>
      </c>
      <c r="C208" s="93" t="s">
        <v>781</v>
      </c>
      <c r="D208" s="93" t="s">
        <v>6</v>
      </c>
      <c r="E208" s="93" t="s">
        <v>81</v>
      </c>
      <c r="F208" s="93" t="s">
        <v>786</v>
      </c>
      <c r="G208" s="93" t="s">
        <v>782</v>
      </c>
      <c r="H208" s="93" t="s">
        <v>728</v>
      </c>
      <c r="I208" s="93" t="s">
        <v>785</v>
      </c>
      <c r="J208" s="93" t="s">
        <v>784</v>
      </c>
      <c r="K208" s="93">
        <v>18059</v>
      </c>
      <c r="L208" s="93" t="s">
        <v>728</v>
      </c>
      <c r="M208" s="93" t="s">
        <v>645</v>
      </c>
      <c r="N208" s="93" t="s">
        <v>783</v>
      </c>
      <c r="O208" s="93" t="s">
        <v>1268</v>
      </c>
      <c r="T208" s="93">
        <v>1996</v>
      </c>
      <c r="W208" s="93" t="s">
        <v>21</v>
      </c>
      <c r="X208" s="93" t="s">
        <v>11</v>
      </c>
      <c r="AB208" s="93" t="s">
        <v>779</v>
      </c>
      <c r="AC208" s="93">
        <v>693</v>
      </c>
      <c r="AG208" s="93" t="s">
        <v>724</v>
      </c>
      <c r="AH208" s="93">
        <v>15</v>
      </c>
    </row>
    <row r="209" spans="2:35" x14ac:dyDescent="0.3">
      <c r="B209" s="93" t="s">
        <v>790</v>
      </c>
      <c r="C209" s="93" t="s">
        <v>1219</v>
      </c>
      <c r="D209" s="93" t="s">
        <v>82</v>
      </c>
      <c r="E209" s="93" t="s">
        <v>606</v>
      </c>
      <c r="F209" s="93" t="s">
        <v>791</v>
      </c>
      <c r="G209" s="93">
        <v>2009</v>
      </c>
      <c r="H209" s="93" t="s">
        <v>789</v>
      </c>
      <c r="I209" s="93" t="s">
        <v>1202</v>
      </c>
      <c r="J209" s="93" t="s">
        <v>1203</v>
      </c>
      <c r="K209" s="93" t="s">
        <v>1204</v>
      </c>
      <c r="L209" s="93" t="s">
        <v>1205</v>
      </c>
      <c r="M209" s="93" t="s">
        <v>617</v>
      </c>
      <c r="N209" s="93" t="s">
        <v>1268</v>
      </c>
      <c r="O209" s="93" t="s">
        <v>1268</v>
      </c>
      <c r="P209" s="93" t="s">
        <v>1206</v>
      </c>
      <c r="T209" s="93">
        <v>2013</v>
      </c>
      <c r="W209" s="93" t="s">
        <v>21</v>
      </c>
      <c r="X209" s="93" t="s">
        <v>277</v>
      </c>
      <c r="AB209" s="93" t="s">
        <v>788</v>
      </c>
      <c r="AC209" s="93">
        <v>755</v>
      </c>
      <c r="AG209" s="93" t="s">
        <v>787</v>
      </c>
      <c r="AH209" s="93">
        <v>85</v>
      </c>
    </row>
    <row r="210" spans="2:35" x14ac:dyDescent="0.3">
      <c r="B210" s="93" t="s">
        <v>792</v>
      </c>
      <c r="C210" s="93" t="s">
        <v>800</v>
      </c>
      <c r="D210" s="93" t="s">
        <v>82</v>
      </c>
      <c r="E210" s="93" t="s">
        <v>79</v>
      </c>
      <c r="F210" s="93" t="s">
        <v>801</v>
      </c>
      <c r="G210" s="93">
        <v>1989</v>
      </c>
      <c r="H210" s="93" t="s">
        <v>49</v>
      </c>
      <c r="I210" s="93" t="s">
        <v>796</v>
      </c>
      <c r="J210" s="93" t="s">
        <v>798</v>
      </c>
      <c r="K210" s="93" t="s">
        <v>797</v>
      </c>
      <c r="L210" s="93" t="s">
        <v>939</v>
      </c>
      <c r="M210" s="93" t="s">
        <v>799</v>
      </c>
      <c r="N210" s="93" t="s">
        <v>1269</v>
      </c>
      <c r="O210" s="93" t="s">
        <v>1269</v>
      </c>
      <c r="T210" s="93">
        <v>2018</v>
      </c>
      <c r="W210" s="93" t="s">
        <v>21</v>
      </c>
      <c r="X210" s="93" t="s">
        <v>794</v>
      </c>
      <c r="AB210" s="93" t="s">
        <v>795</v>
      </c>
      <c r="AC210" s="93">
        <v>741</v>
      </c>
      <c r="AG210" s="93" t="s">
        <v>793</v>
      </c>
      <c r="AH210" s="93">
        <v>20</v>
      </c>
    </row>
    <row r="211" spans="2:35" x14ac:dyDescent="0.3">
      <c r="B211" s="93" t="s">
        <v>153</v>
      </c>
      <c r="D211" s="93" t="s">
        <v>82</v>
      </c>
      <c r="H211" s="93" t="s">
        <v>7</v>
      </c>
      <c r="I211" s="93" t="s">
        <v>1200</v>
      </c>
      <c r="J211" s="93">
        <v>21181</v>
      </c>
      <c r="K211" s="93" t="s">
        <v>204</v>
      </c>
      <c r="L211" s="93" t="s">
        <v>14</v>
      </c>
      <c r="T211" s="93">
        <v>2009</v>
      </c>
      <c r="W211" s="93" t="s">
        <v>21</v>
      </c>
      <c r="X211" s="93" t="s">
        <v>152</v>
      </c>
    </row>
    <row r="212" spans="2:35" x14ac:dyDescent="0.3">
      <c r="B212" s="93" t="s">
        <v>278</v>
      </c>
      <c r="C212" s="93" t="s">
        <v>643</v>
      </c>
      <c r="D212" s="93" t="s">
        <v>6</v>
      </c>
      <c r="E212" s="93" t="s">
        <v>79</v>
      </c>
      <c r="F212" s="93" t="s">
        <v>648</v>
      </c>
      <c r="G212" s="93">
        <v>2003</v>
      </c>
      <c r="H212" s="93" t="s">
        <v>276</v>
      </c>
      <c r="I212" s="93" t="s">
        <v>1201</v>
      </c>
      <c r="J212" s="93">
        <v>13237</v>
      </c>
      <c r="K212" s="93" t="s">
        <v>204</v>
      </c>
      <c r="L212" s="93" t="s">
        <v>285</v>
      </c>
      <c r="M212" s="93" t="s">
        <v>617</v>
      </c>
      <c r="N212" s="93" t="s">
        <v>644</v>
      </c>
      <c r="O212" s="93" t="s">
        <v>1268</v>
      </c>
      <c r="T212" s="93">
        <v>2017</v>
      </c>
      <c r="W212" s="93" t="s">
        <v>21</v>
      </c>
      <c r="X212" s="93" t="s">
        <v>277</v>
      </c>
      <c r="AB212" s="93" t="s">
        <v>647</v>
      </c>
      <c r="AC212" s="93">
        <v>408</v>
      </c>
      <c r="AG212" s="93" t="s">
        <v>646</v>
      </c>
      <c r="AH212" s="93">
        <v>14</v>
      </c>
    </row>
    <row r="213" spans="2:35" x14ac:dyDescent="0.3">
      <c r="B213" s="93" t="s">
        <v>236</v>
      </c>
      <c r="C213" s="93" t="s">
        <v>1000</v>
      </c>
      <c r="D213" s="93" t="s">
        <v>6</v>
      </c>
      <c r="E213" s="93" t="s">
        <v>81</v>
      </c>
      <c r="F213" s="93" t="s">
        <v>1001</v>
      </c>
      <c r="G213" s="93">
        <v>1873</v>
      </c>
      <c r="H213" s="93" t="s">
        <v>126</v>
      </c>
      <c r="I213" s="93" t="s">
        <v>237</v>
      </c>
      <c r="J213" s="93" t="s">
        <v>238</v>
      </c>
      <c r="K213" s="93">
        <v>1910</v>
      </c>
      <c r="L213" s="93" t="s">
        <v>126</v>
      </c>
      <c r="M213" s="93" t="s">
        <v>617</v>
      </c>
      <c r="N213" s="93" t="s">
        <v>1268</v>
      </c>
      <c r="O213" s="93" t="s">
        <v>1268</v>
      </c>
      <c r="T213" s="93">
        <v>2013</v>
      </c>
      <c r="W213" s="93" t="s">
        <v>21</v>
      </c>
      <c r="X213" s="93" t="s">
        <v>20</v>
      </c>
      <c r="AB213" s="93" t="s">
        <v>998</v>
      </c>
      <c r="AC213" s="93">
        <v>285</v>
      </c>
      <c r="AG213" s="93" t="s">
        <v>999</v>
      </c>
      <c r="AH213" s="93">
        <v>4.9000000000000004</v>
      </c>
    </row>
    <row r="214" spans="2:35" x14ac:dyDescent="0.3">
      <c r="B214" s="93" t="s">
        <v>243</v>
      </c>
      <c r="C214" s="93" t="s">
        <v>1003</v>
      </c>
      <c r="D214" s="93" t="s">
        <v>6</v>
      </c>
      <c r="E214" s="93" t="s">
        <v>81</v>
      </c>
      <c r="F214" s="93" t="s">
        <v>1005</v>
      </c>
      <c r="G214" s="93" t="s">
        <v>1004</v>
      </c>
      <c r="H214" s="93" t="s">
        <v>126</v>
      </c>
      <c r="I214" s="93" t="s">
        <v>237</v>
      </c>
      <c r="J214" s="93" t="s">
        <v>238</v>
      </c>
      <c r="K214" s="93">
        <v>1910</v>
      </c>
      <c r="L214" s="93" t="s">
        <v>126</v>
      </c>
      <c r="M214" s="93" t="s">
        <v>617</v>
      </c>
      <c r="N214" s="93" t="s">
        <v>1268</v>
      </c>
      <c r="O214" s="93" t="s">
        <v>1268</v>
      </c>
      <c r="T214" s="93">
        <v>2013</v>
      </c>
      <c r="W214" s="93" t="s">
        <v>21</v>
      </c>
      <c r="X214" s="93" t="s">
        <v>242</v>
      </c>
      <c r="AB214" s="93" t="s">
        <v>1002</v>
      </c>
      <c r="AC214" s="93">
        <v>266</v>
      </c>
      <c r="AG214" s="93" t="s">
        <v>967</v>
      </c>
      <c r="AH214" s="93">
        <v>3.9</v>
      </c>
    </row>
    <row r="215" spans="2:35" x14ac:dyDescent="0.3">
      <c r="B215" s="93" t="s">
        <v>162</v>
      </c>
      <c r="D215" s="93" t="s">
        <v>6</v>
      </c>
      <c r="H215" s="93" t="s">
        <v>7</v>
      </c>
      <c r="I215" s="93" t="s">
        <v>161</v>
      </c>
      <c r="J215" s="93">
        <v>29680</v>
      </c>
      <c r="K215" s="93">
        <v>41627</v>
      </c>
      <c r="L215" s="93" t="s">
        <v>14</v>
      </c>
      <c r="T215" s="93">
        <v>2007</v>
      </c>
      <c r="W215" s="93" t="s">
        <v>21</v>
      </c>
      <c r="X215" s="93" t="s">
        <v>8</v>
      </c>
    </row>
    <row r="216" spans="2:35" x14ac:dyDescent="0.3">
      <c r="B216" s="93" t="s">
        <v>266</v>
      </c>
      <c r="C216" s="93" t="s">
        <v>697</v>
      </c>
      <c r="D216" s="93" t="s">
        <v>6</v>
      </c>
      <c r="E216" s="93" t="s">
        <v>76</v>
      </c>
      <c r="F216" s="93" t="s">
        <v>698</v>
      </c>
      <c r="G216" s="93">
        <v>1917</v>
      </c>
      <c r="H216" s="93" t="s">
        <v>49</v>
      </c>
      <c r="I216" s="93" t="s">
        <v>267</v>
      </c>
      <c r="J216" s="93" t="s">
        <v>268</v>
      </c>
      <c r="K216" s="93">
        <v>20814</v>
      </c>
      <c r="L216" s="93" t="s">
        <v>283</v>
      </c>
      <c r="M216" s="93" t="s">
        <v>617</v>
      </c>
      <c r="N216" s="93" t="s">
        <v>1268</v>
      </c>
      <c r="O216" s="93" t="s">
        <v>1268</v>
      </c>
      <c r="T216" s="93">
        <v>1976</v>
      </c>
      <c r="W216" s="93" t="s">
        <v>21</v>
      </c>
      <c r="X216" s="93" t="s">
        <v>269</v>
      </c>
      <c r="AB216" s="93" t="s">
        <v>696</v>
      </c>
      <c r="AC216" s="93">
        <v>106</v>
      </c>
      <c r="AG216" s="93" t="s">
        <v>682</v>
      </c>
      <c r="AH216" s="93">
        <v>10</v>
      </c>
    </row>
    <row r="217" spans="2:35" x14ac:dyDescent="0.3">
      <c r="B217" s="93" t="s">
        <v>384</v>
      </c>
      <c r="D217" s="93" t="s">
        <v>6</v>
      </c>
      <c r="H217" s="93" t="s">
        <v>7</v>
      </c>
      <c r="I217" s="93" t="s">
        <v>382</v>
      </c>
      <c r="J217" s="93" t="s">
        <v>383</v>
      </c>
      <c r="K217" s="93">
        <v>335</v>
      </c>
      <c r="L217" s="93" t="s">
        <v>386</v>
      </c>
      <c r="T217" s="93">
        <v>2019</v>
      </c>
      <c r="W217" s="93" t="s">
        <v>21</v>
      </c>
      <c r="X217" s="93" t="s">
        <v>8</v>
      </c>
    </row>
    <row r="218" spans="2:35" x14ac:dyDescent="0.3">
      <c r="B218" s="93" t="s">
        <v>367</v>
      </c>
      <c r="D218" s="93" t="s">
        <v>6</v>
      </c>
      <c r="H218" s="93" t="s">
        <v>7</v>
      </c>
      <c r="I218" s="93" t="s">
        <v>368</v>
      </c>
      <c r="J218" s="93" t="s">
        <v>369</v>
      </c>
      <c r="K218" s="93">
        <v>15063</v>
      </c>
      <c r="L218" s="93" t="s">
        <v>13</v>
      </c>
      <c r="T218" s="93">
        <v>1994</v>
      </c>
      <c r="W218" s="93" t="s">
        <v>21</v>
      </c>
      <c r="X218" s="93" t="s">
        <v>8</v>
      </c>
    </row>
    <row r="219" spans="2:35" x14ac:dyDescent="0.3">
      <c r="B219" s="93" t="s">
        <v>922</v>
      </c>
      <c r="C219" s="93" t="s">
        <v>925</v>
      </c>
      <c r="D219" s="93" t="s">
        <v>6</v>
      </c>
      <c r="E219" s="93" t="s">
        <v>77</v>
      </c>
      <c r="F219" s="93" t="s">
        <v>930</v>
      </c>
      <c r="G219" s="93" t="s">
        <v>926</v>
      </c>
      <c r="H219" s="93" t="s">
        <v>7</v>
      </c>
      <c r="I219" s="93" t="s">
        <v>927</v>
      </c>
      <c r="J219" s="93" t="s">
        <v>929</v>
      </c>
      <c r="K219" s="93">
        <v>14273</v>
      </c>
      <c r="L219" s="93" t="s">
        <v>386</v>
      </c>
      <c r="M219" s="93" t="s">
        <v>617</v>
      </c>
      <c r="N219" s="93" t="s">
        <v>928</v>
      </c>
      <c r="O219" s="93" t="s">
        <v>1268</v>
      </c>
      <c r="T219" s="93">
        <v>1981</v>
      </c>
      <c r="W219" s="93" t="s">
        <v>21</v>
      </c>
      <c r="X219" s="93" t="s">
        <v>277</v>
      </c>
      <c r="AB219" s="93" t="s">
        <v>924</v>
      </c>
      <c r="AC219" s="93">
        <v>470</v>
      </c>
      <c r="AG219" s="93" t="s">
        <v>923</v>
      </c>
      <c r="AH219" s="93">
        <v>27.6873</v>
      </c>
      <c r="AI219" s="93" t="s">
        <v>1349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776"/>
  <sheetViews>
    <sheetView zoomScale="80" zoomScaleNormal="80" workbookViewId="0">
      <selection sqref="A1:AP1"/>
    </sheetView>
  </sheetViews>
  <sheetFormatPr defaultColWidth="11.5546875" defaultRowHeight="14.4" x14ac:dyDescent="0.3"/>
  <cols>
    <col min="1" max="1" width="17.33203125" style="68" customWidth="1"/>
    <col min="2" max="2" width="115.21875" style="68" bestFit="1" customWidth="1"/>
    <col min="3" max="3" width="187.6640625" style="68" customWidth="1"/>
    <col min="4" max="4" width="22.6640625" style="68" customWidth="1"/>
    <col min="5" max="5" width="28.21875" style="68" customWidth="1"/>
    <col min="6" max="6" width="189.109375" style="68" bestFit="1" customWidth="1"/>
    <col min="7" max="7" width="78.33203125" style="68" customWidth="1"/>
    <col min="8" max="8" width="26.77734375" style="68" customWidth="1"/>
    <col min="9" max="9" width="78.44140625" style="68" customWidth="1"/>
    <col min="10" max="10" width="34.88671875" style="68" bestFit="1" customWidth="1"/>
    <col min="11" max="11" width="28" style="68" bestFit="1" customWidth="1"/>
    <col min="12" max="12" width="47.21875" style="68" bestFit="1" customWidth="1"/>
    <col min="13" max="13" width="24.44140625" style="68" customWidth="1"/>
    <col min="14" max="15" width="26.6640625" style="68" customWidth="1"/>
    <col min="16" max="16" width="159.109375" style="68" bestFit="1" customWidth="1"/>
    <col min="17" max="17" width="58.33203125" style="68" bestFit="1" customWidth="1"/>
    <col min="18" max="18" width="55.21875" style="68" bestFit="1" customWidth="1"/>
    <col min="19" max="19" width="51.88671875" style="68" bestFit="1" customWidth="1"/>
    <col min="20" max="20" width="64.88671875" style="68" bestFit="1" customWidth="1"/>
    <col min="21" max="21" width="25.77734375" style="68" customWidth="1"/>
    <col min="22" max="22" width="28.21875" style="68" customWidth="1"/>
    <col min="23" max="23" width="35.5546875" style="68" customWidth="1"/>
    <col min="24" max="24" width="26.109375" style="68" customWidth="1"/>
    <col min="25" max="25" width="33.44140625" style="68" bestFit="1" customWidth="1"/>
    <col min="26" max="26" width="23.44140625" style="68" customWidth="1"/>
    <col min="27" max="27" width="33.21875" style="68" customWidth="1"/>
    <col min="28" max="28" width="18.88671875" style="68" customWidth="1"/>
    <col min="29" max="29" width="14.6640625" style="68" customWidth="1"/>
    <col min="30" max="30" width="22.109375" style="68" bestFit="1" customWidth="1"/>
    <col min="31" max="31" width="18.88671875" style="68" customWidth="1"/>
    <col min="32" max="32" width="34.33203125" style="68" customWidth="1"/>
    <col min="33" max="33" width="30.77734375" style="68" customWidth="1"/>
    <col min="34" max="34" width="24.88671875" style="68" customWidth="1"/>
    <col min="35" max="35" width="167.21875" style="68" bestFit="1" customWidth="1"/>
    <col min="36" max="36" width="23.44140625" style="68" customWidth="1"/>
    <col min="37" max="37" width="22.77734375" style="68" customWidth="1"/>
    <col min="38" max="38" width="30.6640625" style="68" customWidth="1"/>
    <col min="39" max="39" width="16" style="68" customWidth="1"/>
    <col min="40" max="40" width="18.77734375" style="69" bestFit="1" customWidth="1"/>
    <col min="41" max="41" width="22.6640625" style="69" bestFit="1" customWidth="1"/>
    <col min="42" max="42" width="25" style="69" bestFit="1" customWidth="1"/>
  </cols>
  <sheetData>
    <row r="1" spans="1:54" ht="21.6" customHeight="1" thickBot="1" x14ac:dyDescent="0.35">
      <c r="A1" s="94" t="s">
        <v>1066</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6"/>
    </row>
    <row r="2" spans="1:54" ht="18.600000000000001" customHeight="1" thickBot="1" x14ac:dyDescent="0.35">
      <c r="A2" s="103" t="s">
        <v>1067</v>
      </c>
      <c r="B2" s="111"/>
      <c r="C2" s="103" t="s">
        <v>1069</v>
      </c>
      <c r="D2" s="104"/>
      <c r="E2" s="104"/>
      <c r="F2" s="104"/>
      <c r="G2" s="104"/>
      <c r="H2" s="111"/>
      <c r="I2" s="103" t="s">
        <v>1070</v>
      </c>
      <c r="J2" s="104"/>
      <c r="K2" s="104"/>
      <c r="L2" s="104"/>
      <c r="M2" s="104"/>
      <c r="N2" s="104"/>
      <c r="O2" s="111"/>
      <c r="P2" s="103" t="s">
        <v>1071</v>
      </c>
      <c r="Q2" s="104"/>
      <c r="R2" s="104"/>
      <c r="S2" s="111"/>
      <c r="T2" s="103" t="s">
        <v>1072</v>
      </c>
      <c r="U2" s="104"/>
      <c r="V2" s="104"/>
      <c r="W2" s="104"/>
      <c r="X2" s="104"/>
      <c r="Y2" s="104"/>
      <c r="Z2" s="104"/>
      <c r="AA2" s="111"/>
      <c r="AB2" s="103" t="s">
        <v>1073</v>
      </c>
      <c r="AC2" s="104"/>
      <c r="AD2" s="104"/>
      <c r="AE2" s="111"/>
      <c r="AF2" s="103" t="s">
        <v>1074</v>
      </c>
      <c r="AG2" s="104"/>
      <c r="AH2" s="104"/>
      <c r="AI2" s="104"/>
      <c r="AJ2" s="104"/>
      <c r="AK2" s="105" t="s">
        <v>1239</v>
      </c>
      <c r="AL2" s="106"/>
      <c r="AM2" s="107"/>
      <c r="AN2" s="97" t="s">
        <v>1417</v>
      </c>
      <c r="AO2" s="98"/>
      <c r="AP2" s="99"/>
    </row>
    <row r="3" spans="1:54" ht="47.4" customHeight="1" thickBot="1" x14ac:dyDescent="0.35">
      <c r="A3" s="100" t="s">
        <v>1075</v>
      </c>
      <c r="B3" s="102"/>
      <c r="C3" s="100" t="s">
        <v>1076</v>
      </c>
      <c r="D3" s="101"/>
      <c r="E3" s="101"/>
      <c r="F3" s="101"/>
      <c r="G3" s="101"/>
      <c r="H3" s="102"/>
      <c r="I3" s="100" t="s">
        <v>1077</v>
      </c>
      <c r="J3" s="101"/>
      <c r="K3" s="101"/>
      <c r="L3" s="101"/>
      <c r="M3" s="101"/>
      <c r="N3" s="101"/>
      <c r="O3" s="102"/>
      <c r="P3" s="100" t="s">
        <v>1078</v>
      </c>
      <c r="Q3" s="101"/>
      <c r="R3" s="101"/>
      <c r="S3" s="102"/>
      <c r="T3" s="100" t="s">
        <v>1079</v>
      </c>
      <c r="U3" s="101"/>
      <c r="V3" s="101"/>
      <c r="W3" s="101"/>
      <c r="X3" s="101"/>
      <c r="Y3" s="101"/>
      <c r="Z3" s="101"/>
      <c r="AA3" s="102"/>
      <c r="AB3" s="100" t="s">
        <v>1080</v>
      </c>
      <c r="AC3" s="101"/>
      <c r="AD3" s="101"/>
      <c r="AE3" s="102"/>
      <c r="AF3" s="100" t="s">
        <v>1081</v>
      </c>
      <c r="AG3" s="101"/>
      <c r="AH3" s="101"/>
      <c r="AI3" s="101"/>
      <c r="AJ3" s="101"/>
      <c r="AK3" s="108" t="s">
        <v>1240</v>
      </c>
      <c r="AL3" s="109"/>
      <c r="AM3" s="110"/>
      <c r="AN3" s="100" t="s">
        <v>1418</v>
      </c>
      <c r="AO3" s="101"/>
      <c r="AP3" s="102"/>
    </row>
    <row r="4" spans="1:54" ht="47.4" customHeight="1" thickBot="1" x14ac:dyDescent="0.35">
      <c r="A4" s="87" t="s">
        <v>1241</v>
      </c>
      <c r="B4" s="88" t="s">
        <v>435</v>
      </c>
      <c r="C4" s="87" t="s">
        <v>1054</v>
      </c>
      <c r="D4" s="89" t="s">
        <v>436</v>
      </c>
      <c r="E4" s="89" t="s">
        <v>616</v>
      </c>
      <c r="F4" s="89" t="s">
        <v>1315</v>
      </c>
      <c r="G4" s="89" t="s">
        <v>1057</v>
      </c>
      <c r="H4" s="88" t="s">
        <v>2</v>
      </c>
      <c r="I4" s="87" t="s">
        <v>0</v>
      </c>
      <c r="J4" s="89" t="s">
        <v>189</v>
      </c>
      <c r="K4" s="89" t="s">
        <v>190</v>
      </c>
      <c r="L4" s="89" t="s">
        <v>12</v>
      </c>
      <c r="M4" s="89" t="s">
        <v>1055</v>
      </c>
      <c r="N4" s="89" t="s">
        <v>432</v>
      </c>
      <c r="O4" s="88" t="s">
        <v>433</v>
      </c>
      <c r="P4" s="87" t="s">
        <v>1053</v>
      </c>
      <c r="Q4" s="89" t="s">
        <v>1284</v>
      </c>
      <c r="R4" s="89" t="s">
        <v>1052</v>
      </c>
      <c r="S4" s="88" t="s">
        <v>1056</v>
      </c>
      <c r="T4" s="87" t="s">
        <v>1448</v>
      </c>
      <c r="U4" s="89" t="s">
        <v>1283</v>
      </c>
      <c r="V4" s="89" t="s">
        <v>1058</v>
      </c>
      <c r="W4" s="89" t="s">
        <v>434</v>
      </c>
      <c r="X4" s="89" t="s">
        <v>3</v>
      </c>
      <c r="Y4" s="89" t="s">
        <v>1059</v>
      </c>
      <c r="Z4" s="89" t="s">
        <v>1060</v>
      </c>
      <c r="AA4" s="88" t="s">
        <v>1061</v>
      </c>
      <c r="AB4" s="87" t="s">
        <v>1086</v>
      </c>
      <c r="AC4" s="89" t="s">
        <v>642</v>
      </c>
      <c r="AD4" s="89" t="s">
        <v>1062</v>
      </c>
      <c r="AE4" s="88" t="s">
        <v>1272</v>
      </c>
      <c r="AF4" s="87" t="s">
        <v>1063</v>
      </c>
      <c r="AG4" s="89" t="s">
        <v>431</v>
      </c>
      <c r="AH4" s="89" t="s">
        <v>622</v>
      </c>
      <c r="AI4" s="89" t="s">
        <v>742</v>
      </c>
      <c r="AJ4" s="90" t="s">
        <v>1064</v>
      </c>
      <c r="AK4" s="91" t="s">
        <v>228</v>
      </c>
      <c r="AL4" s="89" t="s">
        <v>1220</v>
      </c>
      <c r="AM4" s="92" t="s">
        <v>1065</v>
      </c>
      <c r="AN4" s="87" t="s">
        <v>1421</v>
      </c>
      <c r="AO4" s="89" t="s">
        <v>1422</v>
      </c>
      <c r="AP4" s="88" t="s">
        <v>1423</v>
      </c>
    </row>
    <row r="5" spans="1:54" ht="250.2" thickBot="1" x14ac:dyDescent="0.35">
      <c r="A5" s="5" t="s">
        <v>1242</v>
      </c>
      <c r="B5" s="6" t="s">
        <v>1243</v>
      </c>
      <c r="C5" s="5" t="s">
        <v>1290</v>
      </c>
      <c r="D5" s="7" t="s">
        <v>1244</v>
      </c>
      <c r="E5" s="7" t="s">
        <v>1245</v>
      </c>
      <c r="F5" s="7" t="s">
        <v>1246</v>
      </c>
      <c r="G5" s="7" t="s">
        <v>1415</v>
      </c>
      <c r="H5" s="6" t="s">
        <v>1247</v>
      </c>
      <c r="I5" s="5" t="s">
        <v>1248</v>
      </c>
      <c r="J5" s="7" t="s">
        <v>1249</v>
      </c>
      <c r="K5" s="7" t="s">
        <v>1250</v>
      </c>
      <c r="L5" s="7" t="s">
        <v>1251</v>
      </c>
      <c r="M5" s="7" t="s">
        <v>1254</v>
      </c>
      <c r="N5" s="7" t="s">
        <v>1266</v>
      </c>
      <c r="O5" s="6" t="s">
        <v>1267</v>
      </c>
      <c r="P5" s="5" t="s">
        <v>1255</v>
      </c>
      <c r="Q5" s="18" t="s">
        <v>1285</v>
      </c>
      <c r="R5" s="7" t="s">
        <v>1256</v>
      </c>
      <c r="S5" s="6" t="s">
        <v>1257</v>
      </c>
      <c r="T5" s="5" t="s">
        <v>1082</v>
      </c>
      <c r="U5" s="7" t="s">
        <v>1488</v>
      </c>
      <c r="V5" s="7" t="s">
        <v>1489</v>
      </c>
      <c r="W5" s="7" t="s">
        <v>1335</v>
      </c>
      <c r="X5" s="7" t="s">
        <v>1083</v>
      </c>
      <c r="Y5" s="7" t="s">
        <v>1334</v>
      </c>
      <c r="Z5" s="7" t="s">
        <v>1084</v>
      </c>
      <c r="AA5" s="6" t="s">
        <v>1085</v>
      </c>
      <c r="AB5" s="5" t="s">
        <v>1416</v>
      </c>
      <c r="AC5" s="7" t="s">
        <v>1087</v>
      </c>
      <c r="AD5" s="7" t="s">
        <v>1088</v>
      </c>
      <c r="AE5" s="6" t="s">
        <v>1089</v>
      </c>
      <c r="AF5" s="5" t="s">
        <v>1167</v>
      </c>
      <c r="AG5" s="7" t="s">
        <v>1168</v>
      </c>
      <c r="AH5" s="7" t="s">
        <v>1169</v>
      </c>
      <c r="AI5" s="7" t="s">
        <v>1170</v>
      </c>
      <c r="AJ5" s="8" t="s">
        <v>1171</v>
      </c>
      <c r="AK5" s="5" t="s">
        <v>1172</v>
      </c>
      <c r="AL5" s="7" t="s">
        <v>1221</v>
      </c>
      <c r="AM5" s="8" t="s">
        <v>1173</v>
      </c>
      <c r="AN5" s="52" t="s">
        <v>1419</v>
      </c>
      <c r="AO5" s="53" t="s">
        <v>1420</v>
      </c>
      <c r="AP5" s="54" t="s">
        <v>1424</v>
      </c>
    </row>
    <row r="6" spans="1:54" ht="18.600000000000001" customHeight="1" thickBot="1" x14ac:dyDescent="0.35">
      <c r="A6" s="2" t="s">
        <v>1449</v>
      </c>
      <c r="B6" s="3" t="s">
        <v>1450</v>
      </c>
      <c r="C6" s="3" t="s">
        <v>1451</v>
      </c>
      <c r="D6" s="3" t="s">
        <v>1452</v>
      </c>
      <c r="E6" s="3" t="s">
        <v>1453</v>
      </c>
      <c r="F6" s="3" t="s">
        <v>1315</v>
      </c>
      <c r="G6" s="3" t="s">
        <v>1454</v>
      </c>
      <c r="H6" s="3" t="s">
        <v>1455</v>
      </c>
      <c r="I6" s="3" t="s">
        <v>1456</v>
      </c>
      <c r="J6" s="3" t="s">
        <v>1457</v>
      </c>
      <c r="K6" s="3" t="s">
        <v>1458</v>
      </c>
      <c r="L6" s="3" t="s">
        <v>1459</v>
      </c>
      <c r="M6" s="3" t="s">
        <v>1460</v>
      </c>
      <c r="N6" s="3" t="s">
        <v>1461</v>
      </c>
      <c r="O6" s="3" t="s">
        <v>1462</v>
      </c>
      <c r="P6" s="3" t="s">
        <v>1463</v>
      </c>
      <c r="Q6" s="3" t="s">
        <v>1464</v>
      </c>
      <c r="R6" s="3" t="s">
        <v>1465</v>
      </c>
      <c r="S6" s="3" t="s">
        <v>1466</v>
      </c>
      <c r="T6" s="3" t="s">
        <v>1467</v>
      </c>
      <c r="U6" s="3" t="s">
        <v>1468</v>
      </c>
      <c r="V6" s="3" t="s">
        <v>1469</v>
      </c>
      <c r="W6" s="3" t="s">
        <v>1470</v>
      </c>
      <c r="X6" s="3" t="s">
        <v>1471</v>
      </c>
      <c r="Y6" s="3" t="s">
        <v>1472</v>
      </c>
      <c r="Z6" s="3" t="s">
        <v>1473</v>
      </c>
      <c r="AA6" s="3" t="s">
        <v>1474</v>
      </c>
      <c r="AB6" s="3" t="s">
        <v>1086</v>
      </c>
      <c r="AC6" s="3" t="s">
        <v>1475</v>
      </c>
      <c r="AD6" s="3" t="s">
        <v>1062</v>
      </c>
      <c r="AE6" s="3" t="s">
        <v>1476</v>
      </c>
      <c r="AF6" s="3" t="s">
        <v>1477</v>
      </c>
      <c r="AG6" s="3" t="s">
        <v>1478</v>
      </c>
      <c r="AH6" s="3" t="s">
        <v>1479</v>
      </c>
      <c r="AI6" s="3" t="s">
        <v>1480</v>
      </c>
      <c r="AJ6" s="3" t="s">
        <v>1481</v>
      </c>
      <c r="AK6" s="3" t="s">
        <v>1482</v>
      </c>
      <c r="AL6" s="3" t="s">
        <v>1483</v>
      </c>
      <c r="AM6" s="55" t="s">
        <v>1484</v>
      </c>
      <c r="AN6" s="2" t="s">
        <v>1485</v>
      </c>
      <c r="AO6" s="3" t="s">
        <v>1486</v>
      </c>
      <c r="AP6" s="56" t="s">
        <v>1487</v>
      </c>
    </row>
    <row r="7" spans="1:54" ht="31.2" x14ac:dyDescent="0.3">
      <c r="A7" s="15"/>
      <c r="B7" s="10" t="s">
        <v>1261</v>
      </c>
      <c r="C7" s="10" t="s">
        <v>1262</v>
      </c>
      <c r="D7" s="10" t="s">
        <v>6</v>
      </c>
      <c r="E7" s="10" t="s">
        <v>81</v>
      </c>
      <c r="F7" s="64" t="s">
        <v>1287</v>
      </c>
      <c r="G7" s="10">
        <v>1884</v>
      </c>
      <c r="H7" s="10" t="s">
        <v>7</v>
      </c>
      <c r="I7" s="10" t="s">
        <v>1263</v>
      </c>
      <c r="J7" s="49" t="s">
        <v>1264</v>
      </c>
      <c r="K7" s="49">
        <v>9782</v>
      </c>
      <c r="L7" s="10" t="s">
        <v>13</v>
      </c>
      <c r="M7" s="10" t="s">
        <v>617</v>
      </c>
      <c r="N7" s="12" t="s">
        <v>1268</v>
      </c>
      <c r="O7" s="12" t="s">
        <v>1268</v>
      </c>
      <c r="P7" s="10"/>
      <c r="Q7" s="10" t="s">
        <v>1286</v>
      </c>
      <c r="R7" s="10" t="s">
        <v>1265</v>
      </c>
      <c r="S7" s="10"/>
      <c r="T7" s="10">
        <v>1966</v>
      </c>
      <c r="U7" s="10">
        <v>2025</v>
      </c>
      <c r="V7" s="10">
        <v>32</v>
      </c>
      <c r="W7" s="10" t="s">
        <v>21</v>
      </c>
      <c r="X7" s="12" t="s">
        <v>269</v>
      </c>
      <c r="Y7" s="12" t="s">
        <v>1259</v>
      </c>
      <c r="Z7" s="10" t="s">
        <v>1271</v>
      </c>
      <c r="AA7" s="10">
        <v>50</v>
      </c>
      <c r="AB7" s="10" t="s">
        <v>1270</v>
      </c>
      <c r="AC7" s="10">
        <v>166</v>
      </c>
      <c r="AD7" s="10"/>
      <c r="AE7" s="10" t="s">
        <v>1090</v>
      </c>
      <c r="AF7" s="10" t="s">
        <v>1180</v>
      </c>
      <c r="AG7" s="10" t="s">
        <v>669</v>
      </c>
      <c r="AH7" s="16">
        <v>9</v>
      </c>
      <c r="AI7" s="10"/>
      <c r="AJ7" s="10"/>
      <c r="AK7" s="10"/>
      <c r="AL7" s="10" t="s">
        <v>1231</v>
      </c>
      <c r="AM7" s="17"/>
      <c r="AN7" s="57"/>
      <c r="AO7" s="10"/>
      <c r="AP7" s="58"/>
      <c r="AQ7" s="1"/>
      <c r="AR7" s="1"/>
      <c r="AS7" s="1"/>
      <c r="AT7" s="1"/>
      <c r="AU7" s="1"/>
      <c r="AV7" s="1"/>
      <c r="AW7" s="1"/>
      <c r="AX7" s="1"/>
      <c r="AY7" s="1"/>
      <c r="AZ7" s="1"/>
      <c r="BA7" s="1"/>
      <c r="BB7" s="1"/>
    </row>
    <row r="8" spans="1:54" ht="15.6" x14ac:dyDescent="0.3">
      <c r="A8" s="23"/>
      <c r="B8" s="20" t="s">
        <v>224</v>
      </c>
      <c r="C8" s="20" t="s">
        <v>619</v>
      </c>
      <c r="D8" s="20" t="s">
        <v>6</v>
      </c>
      <c r="E8" s="20" t="s">
        <v>81</v>
      </c>
      <c r="F8" s="66" t="s">
        <v>623</v>
      </c>
      <c r="G8" s="20" t="s">
        <v>618</v>
      </c>
      <c r="H8" s="20" t="s">
        <v>7</v>
      </c>
      <c r="I8" s="20" t="s">
        <v>225</v>
      </c>
      <c r="J8" s="50">
        <v>19064</v>
      </c>
      <c r="K8" s="50">
        <v>37022</v>
      </c>
      <c r="L8" s="20" t="s">
        <v>13</v>
      </c>
      <c r="M8" s="20" t="s">
        <v>617</v>
      </c>
      <c r="N8" s="20" t="s">
        <v>1268</v>
      </c>
      <c r="O8" s="20" t="s">
        <v>1268</v>
      </c>
      <c r="P8" s="20"/>
      <c r="Q8" s="20"/>
      <c r="R8" s="20" t="s">
        <v>1258</v>
      </c>
      <c r="S8" s="20"/>
      <c r="T8" s="20">
        <v>2016</v>
      </c>
      <c r="U8" s="20"/>
      <c r="V8" s="20"/>
      <c r="W8" s="20" t="s">
        <v>21</v>
      </c>
      <c r="X8" s="20" t="s">
        <v>8</v>
      </c>
      <c r="Y8" s="20" t="s">
        <v>1259</v>
      </c>
      <c r="Z8" s="20" t="s">
        <v>1260</v>
      </c>
      <c r="AA8" s="20"/>
      <c r="AB8" s="20" t="s">
        <v>620</v>
      </c>
      <c r="AC8" s="20">
        <v>844</v>
      </c>
      <c r="AD8" s="20"/>
      <c r="AE8" s="20"/>
      <c r="AF8" s="20"/>
      <c r="AG8" s="20" t="s">
        <v>621</v>
      </c>
      <c r="AH8" s="19">
        <v>16.5</v>
      </c>
      <c r="AI8" s="20"/>
      <c r="AJ8" s="20"/>
      <c r="AK8" s="20"/>
      <c r="AL8" s="20" t="s">
        <v>1233</v>
      </c>
      <c r="AM8" s="24"/>
      <c r="AN8" s="59"/>
      <c r="AO8" s="12"/>
      <c r="AP8" s="60"/>
    </row>
    <row r="9" spans="1:54" ht="15.6" x14ac:dyDescent="0.3">
      <c r="A9" s="23"/>
      <c r="B9" s="20" t="s">
        <v>956</v>
      </c>
      <c r="C9" s="20" t="s">
        <v>626</v>
      </c>
      <c r="D9" s="20" t="s">
        <v>6</v>
      </c>
      <c r="E9" s="20" t="s">
        <v>77</v>
      </c>
      <c r="F9" s="66" t="s">
        <v>628</v>
      </c>
      <c r="G9" s="20" t="s">
        <v>627</v>
      </c>
      <c r="H9" s="20" t="s">
        <v>254</v>
      </c>
      <c r="I9" s="20" t="s">
        <v>253</v>
      </c>
      <c r="J9" s="50" t="s">
        <v>256</v>
      </c>
      <c r="K9" s="50" t="s">
        <v>257</v>
      </c>
      <c r="L9" s="20" t="s">
        <v>255</v>
      </c>
      <c r="M9" s="20" t="s">
        <v>617</v>
      </c>
      <c r="N9" s="20" t="s">
        <v>1268</v>
      </c>
      <c r="O9" s="20" t="s">
        <v>1268</v>
      </c>
      <c r="P9" s="20"/>
      <c r="Q9" s="20"/>
      <c r="R9" s="20"/>
      <c r="S9" s="20"/>
      <c r="T9" s="20">
        <v>2000</v>
      </c>
      <c r="U9" s="20"/>
      <c r="V9" s="20"/>
      <c r="W9" s="20" t="s">
        <v>21</v>
      </c>
      <c r="X9" s="20" t="s">
        <v>11</v>
      </c>
      <c r="Y9" s="20"/>
      <c r="Z9" s="20"/>
      <c r="AA9" s="20"/>
      <c r="AB9" s="20" t="s">
        <v>625</v>
      </c>
      <c r="AC9" s="20">
        <v>608</v>
      </c>
      <c r="AD9" s="20"/>
      <c r="AE9" s="20"/>
      <c r="AF9" s="20"/>
      <c r="AG9" s="20" t="s">
        <v>624</v>
      </c>
      <c r="AH9" s="19">
        <v>13</v>
      </c>
      <c r="AI9" s="20"/>
      <c r="AJ9" s="20"/>
      <c r="AK9" s="20"/>
      <c r="AL9" s="20"/>
      <c r="AM9" s="24"/>
      <c r="AN9" s="59"/>
      <c r="AO9" s="12"/>
      <c r="AP9" s="60"/>
    </row>
    <row r="10" spans="1:54" ht="15.6" x14ac:dyDescent="0.3">
      <c r="A10" s="23"/>
      <c r="B10" s="20" t="s">
        <v>831</v>
      </c>
      <c r="C10" s="20" t="s">
        <v>836</v>
      </c>
      <c r="D10" s="20" t="s">
        <v>102</v>
      </c>
      <c r="E10" s="20" t="s">
        <v>103</v>
      </c>
      <c r="F10" s="66" t="s">
        <v>837</v>
      </c>
      <c r="G10" s="20" t="s">
        <v>835</v>
      </c>
      <c r="H10" s="20" t="s">
        <v>834</v>
      </c>
      <c r="I10" s="20" t="s">
        <v>1208</v>
      </c>
      <c r="J10" s="50" t="s">
        <v>832</v>
      </c>
      <c r="K10" s="50" t="s">
        <v>833</v>
      </c>
      <c r="L10" s="20" t="s">
        <v>22</v>
      </c>
      <c r="M10" s="20" t="s">
        <v>617</v>
      </c>
      <c r="N10" s="20" t="s">
        <v>1268</v>
      </c>
      <c r="O10" s="20" t="s">
        <v>1268</v>
      </c>
      <c r="P10" s="20"/>
      <c r="Q10" s="20"/>
      <c r="R10" s="20"/>
      <c r="S10" s="20"/>
      <c r="T10" s="20">
        <v>2001</v>
      </c>
      <c r="U10" s="20"/>
      <c r="V10" s="20"/>
      <c r="W10" s="20" t="s">
        <v>839</v>
      </c>
      <c r="X10" s="20" t="s">
        <v>322</v>
      </c>
      <c r="Y10" s="20"/>
      <c r="Z10" s="20"/>
      <c r="AA10" s="20"/>
      <c r="AB10" s="20"/>
      <c r="AC10" s="20">
        <v>162</v>
      </c>
      <c r="AD10" s="20"/>
      <c r="AE10" s="20"/>
      <c r="AF10" s="20"/>
      <c r="AG10" s="20"/>
      <c r="AH10" s="19"/>
      <c r="AI10" s="20"/>
      <c r="AJ10" s="20"/>
      <c r="AK10" s="20"/>
      <c r="AL10" s="20"/>
      <c r="AM10" s="24"/>
      <c r="AN10" s="59"/>
      <c r="AO10" s="12"/>
      <c r="AP10" s="60"/>
    </row>
    <row r="11" spans="1:54" ht="15.6" x14ac:dyDescent="0.3">
      <c r="A11" s="23"/>
      <c r="B11" s="20" t="s">
        <v>1030</v>
      </c>
      <c r="C11" s="20" t="s">
        <v>1037</v>
      </c>
      <c r="D11" s="20" t="s">
        <v>6</v>
      </c>
      <c r="E11" s="20" t="s">
        <v>77</v>
      </c>
      <c r="F11" s="66" t="s">
        <v>1038</v>
      </c>
      <c r="G11" s="20" t="s">
        <v>1036</v>
      </c>
      <c r="H11" s="20" t="s">
        <v>319</v>
      </c>
      <c r="I11" s="20" t="s">
        <v>1032</v>
      </c>
      <c r="J11" s="50" t="s">
        <v>1034</v>
      </c>
      <c r="K11" s="50" t="s">
        <v>1035</v>
      </c>
      <c r="L11" s="20" t="s">
        <v>1033</v>
      </c>
      <c r="M11" s="20" t="s">
        <v>617</v>
      </c>
      <c r="N11" s="20" t="s">
        <v>1268</v>
      </c>
      <c r="O11" s="20" t="s">
        <v>1268</v>
      </c>
      <c r="P11" s="20"/>
      <c r="Q11" s="20"/>
      <c r="R11" s="20"/>
      <c r="S11" s="20"/>
      <c r="T11" s="20">
        <v>2020</v>
      </c>
      <c r="U11" s="20"/>
      <c r="V11" s="20"/>
      <c r="W11" s="20" t="s">
        <v>21</v>
      </c>
      <c r="X11" s="20" t="s">
        <v>159</v>
      </c>
      <c r="Y11" s="20"/>
      <c r="Z11" s="20"/>
      <c r="AA11" s="20"/>
      <c r="AB11" s="20" t="s">
        <v>1031</v>
      </c>
      <c r="AC11" s="20">
        <v>179</v>
      </c>
      <c r="AD11" s="20"/>
      <c r="AE11" s="20"/>
      <c r="AF11" s="20"/>
      <c r="AG11" s="20" t="s">
        <v>802</v>
      </c>
      <c r="AH11" s="19">
        <v>8.5</v>
      </c>
      <c r="AI11" s="20"/>
      <c r="AJ11" s="20"/>
      <c r="AK11" s="20"/>
      <c r="AL11" s="20"/>
      <c r="AM11" s="24"/>
      <c r="AN11" s="59"/>
      <c r="AO11" s="12"/>
      <c r="AP11" s="60"/>
    </row>
    <row r="12" spans="1:54" ht="15.6" x14ac:dyDescent="0.3">
      <c r="A12" s="23"/>
      <c r="B12" s="20" t="s">
        <v>849</v>
      </c>
      <c r="C12" s="20" t="s">
        <v>1291</v>
      </c>
      <c r="D12" s="20" t="s">
        <v>82</v>
      </c>
      <c r="E12" s="20" t="s">
        <v>85</v>
      </c>
      <c r="F12" s="66" t="s">
        <v>855</v>
      </c>
      <c r="G12" s="20" t="s">
        <v>852</v>
      </c>
      <c r="H12" s="20" t="s">
        <v>21</v>
      </c>
      <c r="I12" s="20" t="s">
        <v>853</v>
      </c>
      <c r="J12" s="50" t="s">
        <v>854</v>
      </c>
      <c r="K12" s="50">
        <v>4107</v>
      </c>
      <c r="L12" s="20" t="s">
        <v>22</v>
      </c>
      <c r="M12" s="20" t="s">
        <v>617</v>
      </c>
      <c r="N12" s="20" t="s">
        <v>1268</v>
      </c>
      <c r="O12" s="20" t="s">
        <v>1268</v>
      </c>
      <c r="P12" s="20"/>
      <c r="Q12" s="20"/>
      <c r="R12" s="20"/>
      <c r="S12" s="20"/>
      <c r="T12" s="20">
        <v>2010</v>
      </c>
      <c r="U12" s="20"/>
      <c r="V12" s="20"/>
      <c r="W12" s="20" t="s">
        <v>21</v>
      </c>
      <c r="X12" s="20" t="s">
        <v>11</v>
      </c>
      <c r="Y12" s="20"/>
      <c r="Z12" s="20"/>
      <c r="AA12" s="20"/>
      <c r="AB12" s="20" t="s">
        <v>851</v>
      </c>
      <c r="AC12" s="20">
        <v>900</v>
      </c>
      <c r="AD12" s="20"/>
      <c r="AE12" s="20"/>
      <c r="AF12" s="20"/>
      <c r="AG12" s="20" t="s">
        <v>850</v>
      </c>
      <c r="AH12" s="19">
        <v>15.9</v>
      </c>
      <c r="AI12" s="20"/>
      <c r="AJ12" s="20"/>
      <c r="AK12" s="20"/>
      <c r="AL12" s="20"/>
      <c r="AM12" s="24"/>
      <c r="AN12" s="59"/>
      <c r="AO12" s="12"/>
      <c r="AP12" s="60"/>
    </row>
    <row r="13" spans="1:54" ht="15.6" x14ac:dyDescent="0.3">
      <c r="A13" s="23"/>
      <c r="B13" s="20" t="s">
        <v>164</v>
      </c>
      <c r="C13" s="20" t="s">
        <v>631</v>
      </c>
      <c r="D13" s="20" t="s">
        <v>6</v>
      </c>
      <c r="E13" s="20" t="s">
        <v>81</v>
      </c>
      <c r="F13" s="66" t="s">
        <v>632</v>
      </c>
      <c r="G13" s="20">
        <v>2007</v>
      </c>
      <c r="H13" s="20" t="s">
        <v>7</v>
      </c>
      <c r="I13" s="20" t="s">
        <v>163</v>
      </c>
      <c r="J13" s="50">
        <v>27667</v>
      </c>
      <c r="K13" s="50" t="s">
        <v>204</v>
      </c>
      <c r="L13" s="20" t="s">
        <v>14</v>
      </c>
      <c r="M13" s="20" t="s">
        <v>617</v>
      </c>
      <c r="N13" s="20" t="s">
        <v>1268</v>
      </c>
      <c r="O13" s="20" t="s">
        <v>1268</v>
      </c>
      <c r="P13" s="20"/>
      <c r="Q13" s="20"/>
      <c r="R13" s="20"/>
      <c r="S13" s="20"/>
      <c r="T13" s="20">
        <v>2017</v>
      </c>
      <c r="U13" s="20"/>
      <c r="V13" s="20"/>
      <c r="W13" s="20" t="s">
        <v>21</v>
      </c>
      <c r="X13" s="20" t="s">
        <v>8</v>
      </c>
      <c r="Y13" s="20"/>
      <c r="Z13" s="20"/>
      <c r="AA13" s="20"/>
      <c r="AB13" s="20" t="s">
        <v>630</v>
      </c>
      <c r="AC13" s="20">
        <v>229</v>
      </c>
      <c r="AD13" s="20"/>
      <c r="AE13" s="20"/>
      <c r="AF13" s="20"/>
      <c r="AG13" s="20" t="s">
        <v>629</v>
      </c>
      <c r="AH13" s="19">
        <v>17</v>
      </c>
      <c r="AI13" s="20"/>
      <c r="AJ13" s="20"/>
      <c r="AK13" s="20"/>
      <c r="AL13" s="20"/>
      <c r="AM13" s="24"/>
      <c r="AN13" s="59"/>
      <c r="AO13" s="12"/>
      <c r="AP13" s="60"/>
    </row>
    <row r="14" spans="1:54" ht="31.2" x14ac:dyDescent="0.3">
      <c r="A14" s="11"/>
      <c r="B14" s="12" t="s">
        <v>1316</v>
      </c>
      <c r="C14" s="12" t="s">
        <v>1317</v>
      </c>
      <c r="D14" s="12" t="s">
        <v>82</v>
      </c>
      <c r="E14" s="12" t="s">
        <v>85</v>
      </c>
      <c r="F14" s="65" t="s">
        <v>1325</v>
      </c>
      <c r="G14" s="12">
        <v>1958</v>
      </c>
      <c r="H14" s="12" t="s">
        <v>7</v>
      </c>
      <c r="I14" s="12" t="s">
        <v>1318</v>
      </c>
      <c r="J14" s="49">
        <v>6168</v>
      </c>
      <c r="K14" s="49">
        <v>36433</v>
      </c>
      <c r="L14" s="12" t="s">
        <v>14</v>
      </c>
      <c r="M14" s="12" t="s">
        <v>617</v>
      </c>
      <c r="N14" s="12" t="s">
        <v>1268</v>
      </c>
      <c r="O14" s="12" t="s">
        <v>1268</v>
      </c>
      <c r="P14" s="12"/>
      <c r="Q14" s="12" t="s">
        <v>1319</v>
      </c>
      <c r="R14" s="12" t="s">
        <v>1320</v>
      </c>
      <c r="S14" s="12"/>
      <c r="T14" s="12">
        <v>2010</v>
      </c>
      <c r="U14" s="12">
        <v>2010</v>
      </c>
      <c r="V14" s="12"/>
      <c r="W14" s="12" t="s">
        <v>21</v>
      </c>
      <c r="X14" s="12" t="s">
        <v>1321</v>
      </c>
      <c r="Y14" s="12" t="s">
        <v>1322</v>
      </c>
      <c r="Z14" s="12" t="s">
        <v>1323</v>
      </c>
      <c r="AA14" s="12">
        <v>15</v>
      </c>
      <c r="AB14" s="12" t="s">
        <v>1324</v>
      </c>
      <c r="AC14" s="12">
        <v>194</v>
      </c>
      <c r="AD14" s="12"/>
      <c r="AE14" s="12" t="s">
        <v>1090</v>
      </c>
      <c r="AF14" s="12" t="s">
        <v>1178</v>
      </c>
      <c r="AG14" s="12" t="s">
        <v>1039</v>
      </c>
      <c r="AH14" s="13">
        <v>12</v>
      </c>
      <c r="AI14" s="12"/>
      <c r="AJ14" s="12"/>
      <c r="AK14" s="12"/>
      <c r="AL14" s="12" t="s">
        <v>1229</v>
      </c>
      <c r="AM14" s="14"/>
      <c r="AN14" s="59"/>
      <c r="AO14" s="12"/>
      <c r="AP14" s="60"/>
    </row>
    <row r="15" spans="1:54" ht="15.6" x14ac:dyDescent="0.3">
      <c r="A15" s="23"/>
      <c r="B15" s="20" t="s">
        <v>10</v>
      </c>
      <c r="C15" s="20" t="s">
        <v>635</v>
      </c>
      <c r="D15" s="20" t="s">
        <v>6</v>
      </c>
      <c r="E15" s="20" t="s">
        <v>81</v>
      </c>
      <c r="F15" s="66" t="s">
        <v>636</v>
      </c>
      <c r="G15" s="20">
        <v>1911</v>
      </c>
      <c r="H15" s="20" t="s">
        <v>7</v>
      </c>
      <c r="I15" s="20" t="s">
        <v>19</v>
      </c>
      <c r="J15" s="50" t="s">
        <v>193</v>
      </c>
      <c r="K15" s="50">
        <v>13685</v>
      </c>
      <c r="L15" s="20" t="s">
        <v>13</v>
      </c>
      <c r="M15" s="20" t="s">
        <v>617</v>
      </c>
      <c r="N15" s="20" t="s">
        <v>1268</v>
      </c>
      <c r="O15" s="20" t="s">
        <v>1268</v>
      </c>
      <c r="P15" s="20"/>
      <c r="Q15" s="20"/>
      <c r="R15" s="20"/>
      <c r="S15" s="20"/>
      <c r="T15" s="20">
        <v>2015</v>
      </c>
      <c r="U15" s="20"/>
      <c r="V15" s="20"/>
      <c r="W15" s="20" t="s">
        <v>21</v>
      </c>
      <c r="X15" s="20" t="s">
        <v>11</v>
      </c>
      <c r="Y15" s="20"/>
      <c r="Z15" s="20"/>
      <c r="AA15" s="20"/>
      <c r="AB15" s="20" t="s">
        <v>634</v>
      </c>
      <c r="AC15" s="20">
        <v>372</v>
      </c>
      <c r="AD15" s="20"/>
      <c r="AE15" s="20"/>
      <c r="AF15" s="20"/>
      <c r="AG15" s="20" t="s">
        <v>633</v>
      </c>
      <c r="AH15" s="19">
        <v>16</v>
      </c>
      <c r="AI15" s="20"/>
      <c r="AJ15" s="20"/>
      <c r="AK15" s="20"/>
      <c r="AL15" s="20"/>
      <c r="AM15" s="24"/>
      <c r="AN15" s="59"/>
      <c r="AO15" s="12"/>
      <c r="AP15" s="60"/>
    </row>
    <row r="16" spans="1:54" ht="15.6" x14ac:dyDescent="0.3">
      <c r="A16" s="23"/>
      <c r="B16" s="20" t="s">
        <v>415</v>
      </c>
      <c r="C16" s="20"/>
      <c r="D16" s="20" t="s">
        <v>102</v>
      </c>
      <c r="E16" s="20"/>
      <c r="F16" s="66"/>
      <c r="G16" s="20"/>
      <c r="H16" s="20" t="s">
        <v>126</v>
      </c>
      <c r="I16" s="20" t="s">
        <v>414</v>
      </c>
      <c r="J16" s="50" t="s">
        <v>416</v>
      </c>
      <c r="K16" s="50" t="s">
        <v>417</v>
      </c>
      <c r="L16" s="20" t="s">
        <v>126</v>
      </c>
      <c r="M16" s="20"/>
      <c r="N16" s="20"/>
      <c r="O16" s="20"/>
      <c r="P16" s="20"/>
      <c r="Q16" s="20"/>
      <c r="R16" s="20"/>
      <c r="S16" s="20"/>
      <c r="T16" s="20">
        <v>2014</v>
      </c>
      <c r="U16" s="20"/>
      <c r="V16" s="20"/>
      <c r="W16" s="20" t="s">
        <v>21</v>
      </c>
      <c r="X16" s="20" t="s">
        <v>277</v>
      </c>
      <c r="Y16" s="20"/>
      <c r="Z16" s="20"/>
      <c r="AA16" s="20"/>
      <c r="AB16" s="20"/>
      <c r="AC16" s="20"/>
      <c r="AD16" s="20"/>
      <c r="AE16" s="20"/>
      <c r="AF16" s="20"/>
      <c r="AG16" s="20"/>
      <c r="AH16" s="19"/>
      <c r="AI16" s="20"/>
      <c r="AJ16" s="20"/>
      <c r="AK16" s="20"/>
      <c r="AL16" s="20"/>
      <c r="AM16" s="24"/>
      <c r="AN16" s="59"/>
      <c r="AO16" s="12"/>
      <c r="AP16" s="60"/>
    </row>
    <row r="17" spans="1:42" ht="15.6" x14ac:dyDescent="0.3">
      <c r="A17" s="23"/>
      <c r="B17" s="20" t="s">
        <v>16</v>
      </c>
      <c r="C17" s="20" t="s">
        <v>980</v>
      </c>
      <c r="D17" s="20" t="s">
        <v>6</v>
      </c>
      <c r="E17" s="20" t="s">
        <v>81</v>
      </c>
      <c r="F17" s="66" t="s">
        <v>981</v>
      </c>
      <c r="G17" s="20">
        <v>1900</v>
      </c>
      <c r="H17" s="20" t="s">
        <v>7</v>
      </c>
      <c r="I17" s="20" t="s">
        <v>18</v>
      </c>
      <c r="J17" s="50" t="s">
        <v>194</v>
      </c>
      <c r="K17" s="50">
        <v>7066</v>
      </c>
      <c r="L17" s="20" t="s">
        <v>14</v>
      </c>
      <c r="M17" s="20" t="s">
        <v>617</v>
      </c>
      <c r="N17" s="20" t="s">
        <v>1268</v>
      </c>
      <c r="O17" s="20" t="s">
        <v>1268</v>
      </c>
      <c r="P17" s="20"/>
      <c r="Q17" s="20"/>
      <c r="R17" s="20"/>
      <c r="S17" s="20"/>
      <c r="T17" s="20">
        <v>2009</v>
      </c>
      <c r="U17" s="20"/>
      <c r="V17" s="20"/>
      <c r="W17" s="20" t="s">
        <v>21</v>
      </c>
      <c r="X17" s="20" t="s">
        <v>17</v>
      </c>
      <c r="Y17" s="20"/>
      <c r="Z17" s="20"/>
      <c r="AA17" s="20"/>
      <c r="AB17" s="20" t="s">
        <v>979</v>
      </c>
      <c r="AC17" s="20">
        <v>155</v>
      </c>
      <c r="AD17" s="20"/>
      <c r="AE17" s="20"/>
      <c r="AF17" s="20"/>
      <c r="AG17" s="20" t="s">
        <v>978</v>
      </c>
      <c r="AH17" s="19">
        <v>6.9</v>
      </c>
      <c r="AI17" s="20"/>
      <c r="AJ17" s="20"/>
      <c r="AK17" s="20"/>
      <c r="AL17" s="20"/>
      <c r="AM17" s="24"/>
      <c r="AN17" s="59"/>
      <c r="AO17" s="12"/>
      <c r="AP17" s="60"/>
    </row>
    <row r="18" spans="1:42" ht="31.2" x14ac:dyDescent="0.3">
      <c r="A18" s="11"/>
      <c r="B18" s="12" t="s">
        <v>1326</v>
      </c>
      <c r="C18" s="12" t="s">
        <v>1330</v>
      </c>
      <c r="D18" s="12" t="s">
        <v>82</v>
      </c>
      <c r="E18" s="12" t="s">
        <v>83</v>
      </c>
      <c r="F18" s="65" t="s">
        <v>1339</v>
      </c>
      <c r="G18" s="12">
        <v>2003</v>
      </c>
      <c r="H18" s="12" t="s">
        <v>7</v>
      </c>
      <c r="I18" s="12" t="s">
        <v>1337</v>
      </c>
      <c r="J18" s="49">
        <v>9455</v>
      </c>
      <c r="K18" s="49">
        <v>42744</v>
      </c>
      <c r="L18" s="12" t="s">
        <v>1338</v>
      </c>
      <c r="M18" s="12" t="s">
        <v>617</v>
      </c>
      <c r="N18" s="12" t="s">
        <v>1268</v>
      </c>
      <c r="O18" s="12" t="s">
        <v>1268</v>
      </c>
      <c r="P18" s="12" t="s">
        <v>1331</v>
      </c>
      <c r="Q18" s="12" t="s">
        <v>1332</v>
      </c>
      <c r="R18" s="12" t="s">
        <v>1333</v>
      </c>
      <c r="S18" s="12"/>
      <c r="T18" s="12">
        <v>2003</v>
      </c>
      <c r="U18" s="12">
        <v>2018</v>
      </c>
      <c r="V18" s="12">
        <v>14</v>
      </c>
      <c r="W18" s="12" t="s">
        <v>21</v>
      </c>
      <c r="X18" s="12" t="s">
        <v>1329</v>
      </c>
      <c r="Y18" s="12" t="s">
        <v>1336</v>
      </c>
      <c r="Z18" s="12" t="s">
        <v>1328</v>
      </c>
      <c r="AA18" s="12">
        <v>269</v>
      </c>
      <c r="AB18" s="12" t="s">
        <v>1327</v>
      </c>
      <c r="AC18" s="12">
        <v>127</v>
      </c>
      <c r="AD18" s="12"/>
      <c r="AE18" s="12" t="s">
        <v>1092</v>
      </c>
      <c r="AF18" s="12" t="s">
        <v>1178</v>
      </c>
      <c r="AG18" s="12" t="s">
        <v>1039</v>
      </c>
      <c r="AH18" s="13">
        <v>12</v>
      </c>
      <c r="AI18" s="12"/>
      <c r="AJ18" s="12"/>
      <c r="AK18" s="12"/>
      <c r="AL18" s="12" t="s">
        <v>1223</v>
      </c>
      <c r="AM18" s="14"/>
      <c r="AN18" s="59"/>
      <c r="AO18" s="12"/>
      <c r="AP18" s="60"/>
    </row>
    <row r="19" spans="1:42" ht="15.6" x14ac:dyDescent="0.3">
      <c r="A19" s="23"/>
      <c r="B19" s="20" t="s">
        <v>734</v>
      </c>
      <c r="C19" s="20" t="s">
        <v>745</v>
      </c>
      <c r="D19" s="20" t="s">
        <v>106</v>
      </c>
      <c r="E19" s="20" t="s">
        <v>730</v>
      </c>
      <c r="F19" s="66" t="s">
        <v>739</v>
      </c>
      <c r="G19" s="20">
        <v>1883</v>
      </c>
      <c r="H19" s="20" t="s">
        <v>728</v>
      </c>
      <c r="I19" s="20" t="s">
        <v>736</v>
      </c>
      <c r="J19" s="50" t="s">
        <v>738</v>
      </c>
      <c r="K19" s="50">
        <v>3769</v>
      </c>
      <c r="L19" s="20" t="s">
        <v>728</v>
      </c>
      <c r="M19" s="20" t="s">
        <v>617</v>
      </c>
      <c r="N19" s="20" t="s">
        <v>737</v>
      </c>
      <c r="O19" s="20" t="s">
        <v>1268</v>
      </c>
      <c r="P19" s="20"/>
      <c r="Q19" s="20"/>
      <c r="R19" s="20"/>
      <c r="S19" s="20"/>
      <c r="T19" s="20">
        <v>2010</v>
      </c>
      <c r="U19" s="20"/>
      <c r="V19" s="20"/>
      <c r="W19" s="20" t="s">
        <v>21</v>
      </c>
      <c r="X19" s="20" t="s">
        <v>405</v>
      </c>
      <c r="Y19" s="20"/>
      <c r="Z19" s="20"/>
      <c r="AA19" s="20"/>
      <c r="AB19" s="20" t="s">
        <v>735</v>
      </c>
      <c r="AC19" s="20">
        <v>101</v>
      </c>
      <c r="AD19" s="20"/>
      <c r="AE19" s="20"/>
      <c r="AF19" s="20"/>
      <c r="AG19" s="20" t="s">
        <v>624</v>
      </c>
      <c r="AH19" s="19">
        <v>13</v>
      </c>
      <c r="AI19" s="20"/>
      <c r="AJ19" s="20"/>
      <c r="AK19" s="20"/>
      <c r="AL19" s="20"/>
      <c r="AM19" s="24"/>
      <c r="AN19" s="59"/>
      <c r="AO19" s="12"/>
      <c r="AP19" s="60"/>
    </row>
    <row r="20" spans="1:42" ht="15.6" x14ac:dyDescent="0.3">
      <c r="A20" s="23"/>
      <c r="B20" s="20" t="s">
        <v>743</v>
      </c>
      <c r="C20" s="20" t="s">
        <v>746</v>
      </c>
      <c r="D20" s="20" t="s">
        <v>744</v>
      </c>
      <c r="E20" s="20" t="s">
        <v>744</v>
      </c>
      <c r="F20" s="66" t="s">
        <v>748</v>
      </c>
      <c r="G20" s="20" t="s">
        <v>747</v>
      </c>
      <c r="H20" s="20" t="s">
        <v>728</v>
      </c>
      <c r="I20" s="20" t="s">
        <v>736</v>
      </c>
      <c r="J20" s="50" t="s">
        <v>738</v>
      </c>
      <c r="K20" s="50">
        <v>3769</v>
      </c>
      <c r="L20" s="20" t="s">
        <v>728</v>
      </c>
      <c r="M20" s="20" t="s">
        <v>617</v>
      </c>
      <c r="N20" s="20" t="s">
        <v>737</v>
      </c>
      <c r="O20" s="20" t="s">
        <v>1268</v>
      </c>
      <c r="P20" s="20"/>
      <c r="Q20" s="20"/>
      <c r="R20" s="20"/>
      <c r="S20" s="20"/>
      <c r="T20" s="20">
        <v>1967</v>
      </c>
      <c r="U20" s="20"/>
      <c r="V20" s="20"/>
      <c r="W20" s="20" t="s">
        <v>21</v>
      </c>
      <c r="X20" s="20" t="s">
        <v>740</v>
      </c>
      <c r="Y20" s="20"/>
      <c r="Z20" s="20"/>
      <c r="AA20" s="20"/>
      <c r="AB20" s="20"/>
      <c r="AC20" s="20">
        <v>766</v>
      </c>
      <c r="AD20" s="20"/>
      <c r="AE20" s="20"/>
      <c r="AF20" s="20"/>
      <c r="AG20" s="20" t="s">
        <v>741</v>
      </c>
      <c r="AH20" s="19">
        <f>(4200*15.0525)/1936.27</f>
        <v>32.650663388886883</v>
      </c>
      <c r="AI20" s="20" t="s">
        <v>1345</v>
      </c>
      <c r="AJ20" s="20"/>
      <c r="AK20" s="20"/>
      <c r="AL20" s="20"/>
      <c r="AM20" s="24"/>
      <c r="AN20" s="59"/>
      <c r="AO20" s="12"/>
      <c r="AP20" s="60"/>
    </row>
    <row r="21" spans="1:42" ht="15.6" x14ac:dyDescent="0.3">
      <c r="A21" s="23"/>
      <c r="B21" s="20">
        <v>1984</v>
      </c>
      <c r="C21" s="20"/>
      <c r="D21" s="20" t="s">
        <v>6</v>
      </c>
      <c r="E21" s="20"/>
      <c r="F21" s="66"/>
      <c r="G21" s="20"/>
      <c r="H21" s="20" t="s">
        <v>7</v>
      </c>
      <c r="I21" s="20" t="s">
        <v>1190</v>
      </c>
      <c r="J21" s="50">
        <v>1272</v>
      </c>
      <c r="K21" s="50">
        <v>18284</v>
      </c>
      <c r="L21" s="20" t="s">
        <v>13</v>
      </c>
      <c r="M21" s="20"/>
      <c r="N21" s="20"/>
      <c r="O21" s="20"/>
      <c r="P21" s="20"/>
      <c r="Q21" s="20"/>
      <c r="R21" s="20"/>
      <c r="S21" s="20"/>
      <c r="T21" s="20">
        <v>2016</v>
      </c>
      <c r="U21" s="20"/>
      <c r="V21" s="20"/>
      <c r="W21" s="20" t="s">
        <v>21</v>
      </c>
      <c r="X21" s="20" t="s">
        <v>8</v>
      </c>
      <c r="Y21" s="20"/>
      <c r="Z21" s="20"/>
      <c r="AA21" s="20"/>
      <c r="AB21" s="20"/>
      <c r="AC21" s="20"/>
      <c r="AD21" s="20"/>
      <c r="AE21" s="20"/>
      <c r="AF21" s="20"/>
      <c r="AG21" s="20"/>
      <c r="AH21" s="19"/>
      <c r="AI21" s="20"/>
      <c r="AJ21" s="20"/>
      <c r="AK21" s="20"/>
      <c r="AL21" s="20"/>
      <c r="AM21" s="24"/>
      <c r="AN21" s="59"/>
      <c r="AO21" s="12"/>
      <c r="AP21" s="60"/>
    </row>
    <row r="22" spans="1:42" ht="15.6" x14ac:dyDescent="0.3">
      <c r="A22" s="23"/>
      <c r="B22" s="20" t="s">
        <v>365</v>
      </c>
      <c r="C22" s="20"/>
      <c r="D22" s="20" t="s">
        <v>6</v>
      </c>
      <c r="E22" s="20"/>
      <c r="F22" s="66"/>
      <c r="G22" s="20"/>
      <c r="H22" s="20" t="s">
        <v>7</v>
      </c>
      <c r="I22" s="20" t="s">
        <v>1190</v>
      </c>
      <c r="J22" s="50">
        <v>1272</v>
      </c>
      <c r="K22" s="50">
        <v>18284</v>
      </c>
      <c r="L22" s="20" t="s">
        <v>13</v>
      </c>
      <c r="M22" s="20"/>
      <c r="N22" s="20"/>
      <c r="O22" s="20"/>
      <c r="P22" s="20"/>
      <c r="Q22" s="20"/>
      <c r="R22" s="20"/>
      <c r="S22" s="20"/>
      <c r="T22" s="20">
        <v>2016</v>
      </c>
      <c r="U22" s="20"/>
      <c r="V22" s="20"/>
      <c r="W22" s="20" t="s">
        <v>21</v>
      </c>
      <c r="X22" s="20" t="s">
        <v>8</v>
      </c>
      <c r="Y22" s="20"/>
      <c r="Z22" s="20"/>
      <c r="AA22" s="20"/>
      <c r="AB22" s="20"/>
      <c r="AC22" s="20"/>
      <c r="AD22" s="20"/>
      <c r="AE22" s="20"/>
      <c r="AF22" s="20"/>
      <c r="AG22" s="20"/>
      <c r="AH22" s="19"/>
      <c r="AI22" s="20"/>
      <c r="AJ22" s="20"/>
      <c r="AK22" s="20"/>
      <c r="AL22" s="20"/>
      <c r="AM22" s="24"/>
      <c r="AN22" s="59"/>
      <c r="AO22" s="12"/>
      <c r="AP22" s="60"/>
    </row>
    <row r="23" spans="1:42" ht="31.2" x14ac:dyDescent="0.3">
      <c r="A23" s="11"/>
      <c r="B23" s="12" t="s">
        <v>1366</v>
      </c>
      <c r="C23" s="12" t="s">
        <v>1366</v>
      </c>
      <c r="D23" s="12" t="s">
        <v>82</v>
      </c>
      <c r="E23" s="12" t="s">
        <v>84</v>
      </c>
      <c r="F23" s="65" t="s">
        <v>1370</v>
      </c>
      <c r="G23" s="12">
        <v>1999</v>
      </c>
      <c r="H23" s="12" t="s">
        <v>21</v>
      </c>
      <c r="I23" s="12" t="s">
        <v>1367</v>
      </c>
      <c r="J23" s="49" t="s">
        <v>202</v>
      </c>
      <c r="K23" s="49" t="s">
        <v>204</v>
      </c>
      <c r="L23" s="12" t="s">
        <v>22</v>
      </c>
      <c r="M23" s="12" t="s">
        <v>617</v>
      </c>
      <c r="N23" s="12" t="s">
        <v>1268</v>
      </c>
      <c r="O23" s="12" t="s">
        <v>1268</v>
      </c>
      <c r="P23" s="12"/>
      <c r="Q23" s="12"/>
      <c r="R23" s="12"/>
      <c r="S23" s="12"/>
      <c r="T23" s="12">
        <v>2022</v>
      </c>
      <c r="U23" s="12">
        <v>2022</v>
      </c>
      <c r="V23" s="12"/>
      <c r="W23" s="12" t="s">
        <v>21</v>
      </c>
      <c r="X23" s="12" t="s">
        <v>1357</v>
      </c>
      <c r="Y23" s="12" t="s">
        <v>1300</v>
      </c>
      <c r="Z23" s="12" t="s">
        <v>1368</v>
      </c>
      <c r="AA23" s="12">
        <v>127</v>
      </c>
      <c r="AB23" s="12" t="s">
        <v>1369</v>
      </c>
      <c r="AC23" s="12">
        <v>358</v>
      </c>
      <c r="AD23" s="12"/>
      <c r="AE23" s="12" t="s">
        <v>1090</v>
      </c>
      <c r="AF23" s="12" t="s">
        <v>1178</v>
      </c>
      <c r="AG23" s="12" t="s">
        <v>675</v>
      </c>
      <c r="AH23" s="13">
        <v>18</v>
      </c>
      <c r="AI23" s="12"/>
      <c r="AJ23" s="12"/>
      <c r="AK23" s="12"/>
      <c r="AL23" s="12" t="s">
        <v>1229</v>
      </c>
      <c r="AM23" s="14"/>
      <c r="AN23" s="59"/>
      <c r="AO23" s="12"/>
      <c r="AP23" s="60"/>
    </row>
    <row r="24" spans="1:42" ht="15.6" x14ac:dyDescent="0.3">
      <c r="A24" s="23"/>
      <c r="B24" s="20" t="s">
        <v>681</v>
      </c>
      <c r="C24" s="20" t="s">
        <v>689</v>
      </c>
      <c r="D24" s="20" t="s">
        <v>6</v>
      </c>
      <c r="E24" s="20" t="s">
        <v>81</v>
      </c>
      <c r="F24" s="66" t="s">
        <v>690</v>
      </c>
      <c r="G24" s="20">
        <v>1974</v>
      </c>
      <c r="H24" s="20" t="s">
        <v>49</v>
      </c>
      <c r="I24" s="20" t="s">
        <v>686</v>
      </c>
      <c r="J24" s="50">
        <v>6565</v>
      </c>
      <c r="K24" s="50">
        <v>31244</v>
      </c>
      <c r="L24" s="20" t="s">
        <v>46</v>
      </c>
      <c r="M24" s="20" t="s">
        <v>617</v>
      </c>
      <c r="N24" s="20" t="s">
        <v>687</v>
      </c>
      <c r="O24" s="20" t="s">
        <v>1268</v>
      </c>
      <c r="P24" s="20"/>
      <c r="Q24" s="20"/>
      <c r="R24" s="20"/>
      <c r="S24" s="20"/>
      <c r="T24" s="20">
        <v>2015</v>
      </c>
      <c r="U24" s="20"/>
      <c r="V24" s="20"/>
      <c r="W24" s="20" t="s">
        <v>21</v>
      </c>
      <c r="X24" s="20" t="s">
        <v>277</v>
      </c>
      <c r="Y24" s="20"/>
      <c r="Z24" s="20"/>
      <c r="AA24" s="20"/>
      <c r="AB24" s="20" t="s">
        <v>684</v>
      </c>
      <c r="AC24" s="20">
        <v>139</v>
      </c>
      <c r="AD24" s="20"/>
      <c r="AE24" s="20"/>
      <c r="AF24" s="20"/>
      <c r="AG24" s="20" t="s">
        <v>682</v>
      </c>
      <c r="AH24" s="19">
        <v>10</v>
      </c>
      <c r="AI24" s="20"/>
      <c r="AJ24" s="20"/>
      <c r="AK24" s="20"/>
      <c r="AL24" s="20"/>
      <c r="AM24" s="24"/>
      <c r="AN24" s="59"/>
      <c r="AO24" s="12"/>
      <c r="AP24" s="60"/>
    </row>
    <row r="25" spans="1:42" ht="15.6" x14ac:dyDescent="0.3">
      <c r="A25" s="23"/>
      <c r="B25" s="20" t="s">
        <v>680</v>
      </c>
      <c r="C25" s="20" t="s">
        <v>685</v>
      </c>
      <c r="D25" s="20" t="s">
        <v>6</v>
      </c>
      <c r="E25" s="20" t="s">
        <v>81</v>
      </c>
      <c r="F25" s="66" t="s">
        <v>691</v>
      </c>
      <c r="G25" s="20">
        <v>1963</v>
      </c>
      <c r="H25" s="20" t="s">
        <v>49</v>
      </c>
      <c r="I25" s="20" t="s">
        <v>686</v>
      </c>
      <c r="J25" s="50">
        <v>6565</v>
      </c>
      <c r="K25" s="50">
        <v>31244</v>
      </c>
      <c r="L25" s="20" t="s">
        <v>46</v>
      </c>
      <c r="M25" s="20" t="s">
        <v>617</v>
      </c>
      <c r="N25" s="20" t="s">
        <v>687</v>
      </c>
      <c r="O25" s="20" t="s">
        <v>1268</v>
      </c>
      <c r="P25" s="20"/>
      <c r="Q25" s="20"/>
      <c r="R25" s="20"/>
      <c r="S25" s="20"/>
      <c r="T25" s="20">
        <v>2016</v>
      </c>
      <c r="U25" s="20"/>
      <c r="V25" s="20"/>
      <c r="W25" s="20" t="s">
        <v>21</v>
      </c>
      <c r="X25" s="20" t="s">
        <v>8</v>
      </c>
      <c r="Y25" s="20"/>
      <c r="Z25" s="20"/>
      <c r="AA25" s="20"/>
      <c r="AB25" s="20" t="s">
        <v>688</v>
      </c>
      <c r="AC25" s="20">
        <v>232</v>
      </c>
      <c r="AD25" s="20"/>
      <c r="AE25" s="20"/>
      <c r="AF25" s="20"/>
      <c r="AG25" s="20" t="s">
        <v>683</v>
      </c>
      <c r="AH25" s="19">
        <v>11</v>
      </c>
      <c r="AI25" s="20"/>
      <c r="AJ25" s="20"/>
      <c r="AK25" s="20"/>
      <c r="AL25" s="20"/>
      <c r="AM25" s="24"/>
      <c r="AN25" s="59"/>
      <c r="AO25" s="12"/>
      <c r="AP25" s="60"/>
    </row>
    <row r="26" spans="1:42" ht="15.6" x14ac:dyDescent="0.3">
      <c r="A26" s="23"/>
      <c r="B26" s="20" t="s">
        <v>154</v>
      </c>
      <c r="C26" s="20"/>
      <c r="D26" s="20" t="s">
        <v>82</v>
      </c>
      <c r="E26" s="20"/>
      <c r="F26" s="66"/>
      <c r="G26" s="20"/>
      <c r="H26" s="20" t="s">
        <v>7</v>
      </c>
      <c r="I26" s="20" t="s">
        <v>1198</v>
      </c>
      <c r="J26" s="50" t="s">
        <v>209</v>
      </c>
      <c r="K26" s="50" t="s">
        <v>209</v>
      </c>
      <c r="L26" s="20" t="s">
        <v>13</v>
      </c>
      <c r="M26" s="20"/>
      <c r="N26" s="20"/>
      <c r="O26" s="20"/>
      <c r="P26" s="20"/>
      <c r="Q26" s="20"/>
      <c r="R26" s="20"/>
      <c r="S26" s="20"/>
      <c r="T26" s="20">
        <v>2017</v>
      </c>
      <c r="U26" s="20"/>
      <c r="V26" s="20"/>
      <c r="W26" s="20" t="s">
        <v>21</v>
      </c>
      <c r="X26" s="20" t="s">
        <v>143</v>
      </c>
      <c r="Y26" s="20"/>
      <c r="Z26" s="20"/>
      <c r="AA26" s="20"/>
      <c r="AB26" s="20"/>
      <c r="AC26" s="20"/>
      <c r="AD26" s="20"/>
      <c r="AE26" s="20"/>
      <c r="AF26" s="20"/>
      <c r="AG26" s="20"/>
      <c r="AH26" s="19"/>
      <c r="AI26" s="20"/>
      <c r="AJ26" s="20"/>
      <c r="AK26" s="20"/>
      <c r="AL26" s="20"/>
      <c r="AM26" s="24"/>
      <c r="AN26" s="59"/>
      <c r="AO26" s="12"/>
      <c r="AP26" s="60"/>
    </row>
    <row r="27" spans="1:42" ht="15.6" x14ac:dyDescent="0.3">
      <c r="A27" s="23"/>
      <c r="B27" s="20" t="s">
        <v>392</v>
      </c>
      <c r="C27" s="20"/>
      <c r="D27" s="20" t="s">
        <v>6</v>
      </c>
      <c r="E27" s="20"/>
      <c r="F27" s="66"/>
      <c r="G27" s="20"/>
      <c r="H27" s="20" t="s">
        <v>7</v>
      </c>
      <c r="I27" s="20" t="s">
        <v>389</v>
      </c>
      <c r="J27" s="50" t="s">
        <v>390</v>
      </c>
      <c r="K27" s="50" t="s">
        <v>391</v>
      </c>
      <c r="L27" s="20" t="s">
        <v>13</v>
      </c>
      <c r="M27" s="20"/>
      <c r="N27" s="20"/>
      <c r="O27" s="20"/>
      <c r="P27" s="20"/>
      <c r="Q27" s="20"/>
      <c r="R27" s="20"/>
      <c r="S27" s="20"/>
      <c r="T27" s="20">
        <v>1996</v>
      </c>
      <c r="U27" s="20"/>
      <c r="V27" s="20"/>
      <c r="W27" s="20" t="s">
        <v>21</v>
      </c>
      <c r="X27" s="20" t="s">
        <v>8</v>
      </c>
      <c r="Y27" s="20"/>
      <c r="Z27" s="20"/>
      <c r="AA27" s="20"/>
      <c r="AB27" s="20"/>
      <c r="AC27" s="20"/>
      <c r="AD27" s="20"/>
      <c r="AE27" s="20"/>
      <c r="AF27" s="20"/>
      <c r="AG27" s="20"/>
      <c r="AH27" s="19"/>
      <c r="AI27" s="20"/>
      <c r="AJ27" s="20"/>
      <c r="AK27" s="20"/>
      <c r="AL27" s="20"/>
      <c r="AM27" s="24"/>
      <c r="AN27" s="59"/>
      <c r="AO27" s="12"/>
      <c r="AP27" s="60"/>
    </row>
    <row r="28" spans="1:42" ht="31.2" x14ac:dyDescent="0.3">
      <c r="A28" s="23"/>
      <c r="B28" s="20" t="s">
        <v>263</v>
      </c>
      <c r="C28" s="20" t="s">
        <v>815</v>
      </c>
      <c r="D28" s="20" t="s">
        <v>6</v>
      </c>
      <c r="E28" s="20" t="s">
        <v>81</v>
      </c>
      <c r="F28" s="66" t="s">
        <v>816</v>
      </c>
      <c r="G28" s="20" t="s">
        <v>1213</v>
      </c>
      <c r="H28" s="20" t="s">
        <v>254</v>
      </c>
      <c r="I28" s="20" t="s">
        <v>264</v>
      </c>
      <c r="J28" s="50" t="s">
        <v>265</v>
      </c>
      <c r="K28" s="50">
        <v>14680</v>
      </c>
      <c r="L28" s="20" t="s">
        <v>255</v>
      </c>
      <c r="M28" s="20" t="s">
        <v>617</v>
      </c>
      <c r="N28" s="20" t="s">
        <v>1268</v>
      </c>
      <c r="O28" s="20" t="s">
        <v>1268</v>
      </c>
      <c r="P28" s="20"/>
      <c r="Q28" s="20"/>
      <c r="R28" s="20"/>
      <c r="S28" s="20"/>
      <c r="T28" s="20">
        <v>1986</v>
      </c>
      <c r="U28" s="20"/>
      <c r="V28" s="20"/>
      <c r="W28" s="20" t="s">
        <v>21</v>
      </c>
      <c r="X28" s="20" t="s">
        <v>17</v>
      </c>
      <c r="Y28" s="20"/>
      <c r="Z28" s="20"/>
      <c r="AA28" s="20"/>
      <c r="AB28" s="20"/>
      <c r="AC28" s="20">
        <v>386</v>
      </c>
      <c r="AD28" s="20"/>
      <c r="AE28" s="20"/>
      <c r="AF28" s="20"/>
      <c r="AG28" s="20"/>
      <c r="AH28" s="19"/>
      <c r="AI28" s="20"/>
      <c r="AJ28" s="20"/>
      <c r="AK28" s="20"/>
      <c r="AL28" s="20"/>
      <c r="AM28" s="24"/>
      <c r="AN28" s="59"/>
      <c r="AO28" s="12"/>
      <c r="AP28" s="60"/>
    </row>
    <row r="29" spans="1:42" ht="15.6" x14ac:dyDescent="0.3">
      <c r="A29" s="23"/>
      <c r="B29" s="20" t="s">
        <v>335</v>
      </c>
      <c r="C29" s="20"/>
      <c r="D29" s="20" t="s">
        <v>6</v>
      </c>
      <c r="E29" s="20"/>
      <c r="F29" s="66"/>
      <c r="G29" s="20"/>
      <c r="H29" s="20" t="s">
        <v>7</v>
      </c>
      <c r="I29" s="20" t="s">
        <v>336</v>
      </c>
      <c r="J29" s="50">
        <v>6266</v>
      </c>
      <c r="K29" s="50">
        <v>34295</v>
      </c>
      <c r="L29" s="20" t="s">
        <v>13</v>
      </c>
      <c r="M29" s="20"/>
      <c r="N29" s="20"/>
      <c r="O29" s="20"/>
      <c r="P29" s="20"/>
      <c r="Q29" s="20"/>
      <c r="R29" s="20"/>
      <c r="S29" s="20"/>
      <c r="T29" s="20">
        <v>2014</v>
      </c>
      <c r="U29" s="20"/>
      <c r="V29" s="20"/>
      <c r="W29" s="20" t="s">
        <v>21</v>
      </c>
      <c r="X29" s="20" t="s">
        <v>277</v>
      </c>
      <c r="Y29" s="20"/>
      <c r="Z29" s="20"/>
      <c r="AA29" s="20"/>
      <c r="AB29" s="20"/>
      <c r="AC29" s="20"/>
      <c r="AD29" s="20"/>
      <c r="AE29" s="20"/>
      <c r="AF29" s="20"/>
      <c r="AG29" s="20"/>
      <c r="AH29" s="19"/>
      <c r="AI29" s="20"/>
      <c r="AJ29" s="20"/>
      <c r="AK29" s="20"/>
      <c r="AL29" s="20"/>
      <c r="AM29" s="24"/>
      <c r="AN29" s="59"/>
      <c r="AO29" s="12"/>
      <c r="AP29" s="60"/>
    </row>
    <row r="30" spans="1:42" ht="31.2" x14ac:dyDescent="0.3">
      <c r="A30" s="11"/>
      <c r="B30" s="12" t="s">
        <v>1340</v>
      </c>
      <c r="C30" s="12" t="s">
        <v>1353</v>
      </c>
      <c r="D30" s="12" t="s">
        <v>82</v>
      </c>
      <c r="E30" s="12" t="s">
        <v>78</v>
      </c>
      <c r="F30" s="65" t="s">
        <v>1354</v>
      </c>
      <c r="G30" s="12">
        <v>1978</v>
      </c>
      <c r="H30" s="12" t="s">
        <v>7</v>
      </c>
      <c r="I30" s="12" t="s">
        <v>1341</v>
      </c>
      <c r="J30" s="49">
        <v>13743</v>
      </c>
      <c r="K30" s="49" t="s">
        <v>204</v>
      </c>
      <c r="L30" s="12" t="s">
        <v>13</v>
      </c>
      <c r="M30" s="12" t="s">
        <v>617</v>
      </c>
      <c r="N30" s="12" t="s">
        <v>1268</v>
      </c>
      <c r="O30" s="12" t="s">
        <v>1268</v>
      </c>
      <c r="P30" s="12" t="s">
        <v>1350</v>
      </c>
      <c r="Q30" s="12" t="s">
        <v>1352</v>
      </c>
      <c r="R30" s="12" t="s">
        <v>1351</v>
      </c>
      <c r="S30" s="12"/>
      <c r="T30" s="12">
        <v>1980</v>
      </c>
      <c r="U30" s="12">
        <v>1980</v>
      </c>
      <c r="V30" s="12"/>
      <c r="W30" s="12" t="s">
        <v>21</v>
      </c>
      <c r="X30" s="12" t="s">
        <v>8</v>
      </c>
      <c r="Y30" s="12" t="s">
        <v>1259</v>
      </c>
      <c r="Z30" s="12" t="s">
        <v>1342</v>
      </c>
      <c r="AA30" s="12"/>
      <c r="AB30" s="12"/>
      <c r="AC30" s="12">
        <v>341</v>
      </c>
      <c r="AD30" s="12"/>
      <c r="AE30" s="12" t="s">
        <v>1090</v>
      </c>
      <c r="AF30" s="12" t="s">
        <v>1182</v>
      </c>
      <c r="AG30" s="12" t="s">
        <v>1343</v>
      </c>
      <c r="AH30" s="13">
        <f>(5000*3.7017)/1936.27</f>
        <v>9.5588425167977604</v>
      </c>
      <c r="AI30" s="12" t="s">
        <v>1344</v>
      </c>
      <c r="AJ30" s="12"/>
      <c r="AK30" s="12"/>
      <c r="AL30" s="12" t="s">
        <v>1223</v>
      </c>
      <c r="AM30" s="14"/>
      <c r="AN30" s="59"/>
      <c r="AO30" s="12"/>
      <c r="AP30" s="60"/>
    </row>
    <row r="31" spans="1:42" ht="15.6" x14ac:dyDescent="0.3">
      <c r="A31" s="23"/>
      <c r="B31" s="20" t="s">
        <v>637</v>
      </c>
      <c r="C31" s="20" t="s">
        <v>637</v>
      </c>
      <c r="D31" s="20" t="s">
        <v>6</v>
      </c>
      <c r="E31" s="20" t="s">
        <v>81</v>
      </c>
      <c r="F31" s="66" t="s">
        <v>641</v>
      </c>
      <c r="G31" s="20">
        <v>1945</v>
      </c>
      <c r="H31" s="20" t="s">
        <v>21</v>
      </c>
      <c r="I31" s="20" t="s">
        <v>638</v>
      </c>
      <c r="J31" s="50">
        <v>2481</v>
      </c>
      <c r="K31" s="50">
        <v>26326</v>
      </c>
      <c r="L31" s="20" t="s">
        <v>22</v>
      </c>
      <c r="M31" s="20" t="s">
        <v>617</v>
      </c>
      <c r="N31" s="20" t="s">
        <v>1268</v>
      </c>
      <c r="O31" s="20" t="s">
        <v>1268</v>
      </c>
      <c r="P31" s="20"/>
      <c r="Q31" s="20"/>
      <c r="R31" s="20"/>
      <c r="S31" s="20"/>
      <c r="T31" s="20">
        <v>2000</v>
      </c>
      <c r="U31" s="20"/>
      <c r="V31" s="20"/>
      <c r="W31" s="20" t="s">
        <v>21</v>
      </c>
      <c r="X31" s="20" t="s">
        <v>8</v>
      </c>
      <c r="Y31" s="20"/>
      <c r="Z31" s="20"/>
      <c r="AA31" s="20"/>
      <c r="AB31" s="20" t="s">
        <v>639</v>
      </c>
      <c r="AC31" s="20">
        <v>169</v>
      </c>
      <c r="AD31" s="20"/>
      <c r="AE31" s="20"/>
      <c r="AF31" s="20"/>
      <c r="AG31" s="20" t="s">
        <v>640</v>
      </c>
      <c r="AH31" s="19">
        <v>12.39</v>
      </c>
      <c r="AI31" s="20"/>
      <c r="AJ31" s="20"/>
      <c r="AK31" s="20"/>
      <c r="AL31" s="20"/>
      <c r="AM31" s="24"/>
      <c r="AN31" s="59"/>
      <c r="AO31" s="12"/>
      <c r="AP31" s="60"/>
    </row>
    <row r="32" spans="1:42" ht="31.2" x14ac:dyDescent="0.3">
      <c r="A32" s="23"/>
      <c r="B32" s="20" t="s">
        <v>957</v>
      </c>
      <c r="C32" s="20" t="s">
        <v>955</v>
      </c>
      <c r="D32" s="20" t="s">
        <v>6</v>
      </c>
      <c r="E32" s="20" t="s">
        <v>77</v>
      </c>
      <c r="F32" s="66" t="s">
        <v>958</v>
      </c>
      <c r="G32" s="20">
        <v>1956</v>
      </c>
      <c r="H32" s="20" t="s">
        <v>21</v>
      </c>
      <c r="I32" s="20" t="s">
        <v>377</v>
      </c>
      <c r="J32" s="50">
        <v>8689</v>
      </c>
      <c r="K32" s="50">
        <v>31309</v>
      </c>
      <c r="L32" s="20" t="s">
        <v>22</v>
      </c>
      <c r="M32" s="20" t="s">
        <v>617</v>
      </c>
      <c r="N32" s="20" t="s">
        <v>1268</v>
      </c>
      <c r="O32" s="20" t="s">
        <v>1268</v>
      </c>
      <c r="P32" s="20"/>
      <c r="Q32" s="20"/>
      <c r="R32" s="20"/>
      <c r="S32" s="20"/>
      <c r="T32" s="20">
        <v>2017</v>
      </c>
      <c r="U32" s="20"/>
      <c r="V32" s="20"/>
      <c r="W32" s="20" t="s">
        <v>21</v>
      </c>
      <c r="X32" s="20" t="s">
        <v>8</v>
      </c>
      <c r="Y32" s="20"/>
      <c r="Z32" s="20"/>
      <c r="AA32" s="20"/>
      <c r="AB32" s="20" t="s">
        <v>954</v>
      </c>
      <c r="AC32" s="20">
        <v>1015</v>
      </c>
      <c r="AD32" s="20"/>
      <c r="AE32" s="20"/>
      <c r="AF32" s="20"/>
      <c r="AG32" s="20" t="s">
        <v>953</v>
      </c>
      <c r="AH32" s="19">
        <v>28</v>
      </c>
      <c r="AI32" s="20"/>
      <c r="AJ32" s="20"/>
      <c r="AK32" s="20"/>
      <c r="AL32" s="20"/>
      <c r="AM32" s="24"/>
      <c r="AN32" s="59"/>
      <c r="AO32" s="12"/>
      <c r="AP32" s="60"/>
    </row>
    <row r="33" spans="1:42" ht="15.6" x14ac:dyDescent="0.3">
      <c r="A33" s="23"/>
      <c r="B33" s="20" t="s">
        <v>378</v>
      </c>
      <c r="C33" s="20" t="s">
        <v>879</v>
      </c>
      <c r="D33" s="20" t="s">
        <v>6</v>
      </c>
      <c r="E33" s="20" t="s">
        <v>81</v>
      </c>
      <c r="F33" s="66" t="s">
        <v>881</v>
      </c>
      <c r="G33" s="20" t="s">
        <v>880</v>
      </c>
      <c r="H33" s="20" t="s">
        <v>21</v>
      </c>
      <c r="I33" s="20" t="s">
        <v>377</v>
      </c>
      <c r="J33" s="50">
        <v>8689</v>
      </c>
      <c r="K33" s="50">
        <v>31309</v>
      </c>
      <c r="L33" s="20" t="s">
        <v>22</v>
      </c>
      <c r="M33" s="20" t="s">
        <v>617</v>
      </c>
      <c r="N33" s="20" t="s">
        <v>1268</v>
      </c>
      <c r="O33" s="20" t="s">
        <v>1268</v>
      </c>
      <c r="P33" s="20"/>
      <c r="Q33" s="20"/>
      <c r="R33" s="20"/>
      <c r="S33" s="20"/>
      <c r="T33" s="20">
        <v>2016</v>
      </c>
      <c r="U33" s="20"/>
      <c r="V33" s="20"/>
      <c r="W33" s="20" t="s">
        <v>21</v>
      </c>
      <c r="X33" s="20" t="s">
        <v>8</v>
      </c>
      <c r="Y33" s="20"/>
      <c r="Z33" s="20"/>
      <c r="AA33" s="20"/>
      <c r="AB33" s="20" t="s">
        <v>878</v>
      </c>
      <c r="AC33" s="20">
        <v>471</v>
      </c>
      <c r="AD33" s="20"/>
      <c r="AE33" s="20"/>
      <c r="AF33" s="20"/>
      <c r="AG33" s="20" t="s">
        <v>646</v>
      </c>
      <c r="AH33" s="19">
        <v>14</v>
      </c>
      <c r="AI33" s="20"/>
      <c r="AJ33" s="20"/>
      <c r="AK33" s="20"/>
      <c r="AL33" s="20"/>
      <c r="AM33" s="24"/>
      <c r="AN33" s="59"/>
      <c r="AO33" s="12"/>
      <c r="AP33" s="60"/>
    </row>
    <row r="34" spans="1:42" ht="15.6" x14ac:dyDescent="0.3">
      <c r="A34" s="23"/>
      <c r="B34" s="20" t="s">
        <v>379</v>
      </c>
      <c r="C34" s="20" t="s">
        <v>379</v>
      </c>
      <c r="D34" s="20" t="s">
        <v>6</v>
      </c>
      <c r="E34" s="20" t="s">
        <v>81</v>
      </c>
      <c r="F34" s="66" t="s">
        <v>883</v>
      </c>
      <c r="G34" s="20">
        <v>1979</v>
      </c>
      <c r="H34" s="20" t="s">
        <v>21</v>
      </c>
      <c r="I34" s="20" t="s">
        <v>377</v>
      </c>
      <c r="J34" s="50">
        <v>8689</v>
      </c>
      <c r="K34" s="50">
        <v>31309</v>
      </c>
      <c r="L34" s="20" t="s">
        <v>22</v>
      </c>
      <c r="M34" s="20" t="s">
        <v>617</v>
      </c>
      <c r="N34" s="20" t="s">
        <v>1268</v>
      </c>
      <c r="O34" s="20" t="s">
        <v>1268</v>
      </c>
      <c r="P34" s="20"/>
      <c r="Q34" s="20"/>
      <c r="R34" s="20"/>
      <c r="S34" s="20"/>
      <c r="T34" s="20">
        <v>2016</v>
      </c>
      <c r="U34" s="20"/>
      <c r="V34" s="20"/>
      <c r="W34" s="20" t="s">
        <v>21</v>
      </c>
      <c r="X34" s="20" t="s">
        <v>8</v>
      </c>
      <c r="Y34" s="20"/>
      <c r="Z34" s="20"/>
      <c r="AA34" s="20"/>
      <c r="AB34" s="20" t="s">
        <v>882</v>
      </c>
      <c r="AC34" s="20">
        <v>264</v>
      </c>
      <c r="AD34" s="20"/>
      <c r="AE34" s="20"/>
      <c r="AF34" s="20"/>
      <c r="AG34" s="20" t="s">
        <v>646</v>
      </c>
      <c r="AH34" s="19">
        <v>14</v>
      </c>
      <c r="AI34" s="20"/>
      <c r="AJ34" s="20"/>
      <c r="AK34" s="20"/>
      <c r="AL34" s="20"/>
      <c r="AM34" s="24"/>
      <c r="AN34" s="59"/>
      <c r="AO34" s="12"/>
      <c r="AP34" s="60"/>
    </row>
    <row r="35" spans="1:42" ht="15.6" x14ac:dyDescent="0.3">
      <c r="A35" s="23"/>
      <c r="B35" s="20" t="s">
        <v>932</v>
      </c>
      <c r="C35" s="20" t="s">
        <v>932</v>
      </c>
      <c r="D35" s="20" t="s">
        <v>82</v>
      </c>
      <c r="E35" s="20" t="s">
        <v>85</v>
      </c>
      <c r="F35" s="66" t="s">
        <v>933</v>
      </c>
      <c r="G35" s="20">
        <v>1988</v>
      </c>
      <c r="H35" s="20" t="s">
        <v>21</v>
      </c>
      <c r="I35" s="20" t="s">
        <v>377</v>
      </c>
      <c r="J35" s="50">
        <v>8689</v>
      </c>
      <c r="K35" s="50">
        <v>31309</v>
      </c>
      <c r="L35" s="20" t="s">
        <v>22</v>
      </c>
      <c r="M35" s="20" t="s">
        <v>617</v>
      </c>
      <c r="N35" s="20" t="s">
        <v>1268</v>
      </c>
      <c r="O35" s="20" t="s">
        <v>1268</v>
      </c>
      <c r="P35" s="20" t="s">
        <v>1207</v>
      </c>
      <c r="Q35" s="20"/>
      <c r="R35" s="20"/>
      <c r="S35" s="20"/>
      <c r="T35" s="20">
        <v>2019</v>
      </c>
      <c r="U35" s="20"/>
      <c r="V35" s="20"/>
      <c r="W35" s="20" t="s">
        <v>21</v>
      </c>
      <c r="X35" s="20" t="s">
        <v>8</v>
      </c>
      <c r="Y35" s="20"/>
      <c r="Z35" s="20"/>
      <c r="AA35" s="20"/>
      <c r="AB35" s="20" t="s">
        <v>931</v>
      </c>
      <c r="AC35" s="20">
        <v>179</v>
      </c>
      <c r="AD35" s="20"/>
      <c r="AE35" s="20"/>
      <c r="AF35" s="20"/>
      <c r="AG35" s="20" t="s">
        <v>624</v>
      </c>
      <c r="AH35" s="19">
        <v>13</v>
      </c>
      <c r="AI35" s="20"/>
      <c r="AJ35" s="20"/>
      <c r="AK35" s="20"/>
      <c r="AL35" s="20"/>
      <c r="AM35" s="24"/>
      <c r="AN35" s="59"/>
      <c r="AO35" s="12"/>
      <c r="AP35" s="60"/>
    </row>
    <row r="36" spans="1:42" ht="15.6" x14ac:dyDescent="0.3">
      <c r="A36" s="23"/>
      <c r="B36" s="20" t="s">
        <v>328</v>
      </c>
      <c r="C36" s="20"/>
      <c r="D36" s="20" t="s">
        <v>6</v>
      </c>
      <c r="E36" s="20"/>
      <c r="F36" s="66"/>
      <c r="G36" s="20"/>
      <c r="H36" s="20" t="s">
        <v>21</v>
      </c>
      <c r="I36" s="20" t="s">
        <v>327</v>
      </c>
      <c r="J36" s="50">
        <v>9381</v>
      </c>
      <c r="K36" s="50">
        <v>43663</v>
      </c>
      <c r="L36" s="20" t="s">
        <v>22</v>
      </c>
      <c r="M36" s="20"/>
      <c r="N36" s="20"/>
      <c r="O36" s="20"/>
      <c r="P36" s="20"/>
      <c r="Q36" s="20"/>
      <c r="R36" s="20"/>
      <c r="S36" s="20"/>
      <c r="T36" s="20">
        <v>2002</v>
      </c>
      <c r="U36" s="20"/>
      <c r="V36" s="20"/>
      <c r="W36" s="20" t="s">
        <v>21</v>
      </c>
      <c r="X36" s="20" t="s">
        <v>8</v>
      </c>
      <c r="Y36" s="20"/>
      <c r="Z36" s="20"/>
      <c r="AA36" s="20"/>
      <c r="AB36" s="20"/>
      <c r="AC36" s="20"/>
      <c r="AD36" s="20"/>
      <c r="AE36" s="20"/>
      <c r="AF36" s="20"/>
      <c r="AG36" s="20"/>
      <c r="AH36" s="19"/>
      <c r="AI36" s="20"/>
      <c r="AJ36" s="20"/>
      <c r="AK36" s="20"/>
      <c r="AL36" s="20"/>
      <c r="AM36" s="24"/>
      <c r="AN36" s="59"/>
      <c r="AO36" s="12"/>
      <c r="AP36" s="60"/>
    </row>
    <row r="37" spans="1:42" ht="15.6" x14ac:dyDescent="0.3">
      <c r="A37" s="23"/>
      <c r="B37" s="20" t="s">
        <v>320</v>
      </c>
      <c r="C37" s="20" t="s">
        <v>1043</v>
      </c>
      <c r="D37" s="20" t="s">
        <v>6</v>
      </c>
      <c r="E37" s="20" t="s">
        <v>78</v>
      </c>
      <c r="F37" s="66"/>
      <c r="G37" s="20" t="s">
        <v>1042</v>
      </c>
      <c r="H37" s="20" t="s">
        <v>319</v>
      </c>
      <c r="I37" s="20" t="s">
        <v>315</v>
      </c>
      <c r="J37" s="50" t="s">
        <v>316</v>
      </c>
      <c r="K37" s="50" t="s">
        <v>317</v>
      </c>
      <c r="L37" s="20" t="s">
        <v>318</v>
      </c>
      <c r="M37" s="20" t="s">
        <v>617</v>
      </c>
      <c r="N37" s="20" t="s">
        <v>1268</v>
      </c>
      <c r="O37" s="20" t="s">
        <v>1268</v>
      </c>
      <c r="P37" s="20"/>
      <c r="Q37" s="20"/>
      <c r="R37" s="20"/>
      <c r="S37" s="20"/>
      <c r="T37" s="20">
        <v>2018</v>
      </c>
      <c r="U37" s="20"/>
      <c r="V37" s="20"/>
      <c r="W37" s="20" t="s">
        <v>21</v>
      </c>
      <c r="X37" s="20" t="s">
        <v>11</v>
      </c>
      <c r="Y37" s="20"/>
      <c r="Z37" s="20"/>
      <c r="AA37" s="20"/>
      <c r="AB37" s="20" t="s">
        <v>1040</v>
      </c>
      <c r="AC37" s="20">
        <v>642</v>
      </c>
      <c r="AD37" s="20"/>
      <c r="AE37" s="20"/>
      <c r="AF37" s="20"/>
      <c r="AG37" s="20" t="s">
        <v>1039</v>
      </c>
      <c r="AH37" s="19">
        <v>12</v>
      </c>
      <c r="AI37" s="20"/>
      <c r="AJ37" s="20"/>
      <c r="AK37" s="20"/>
      <c r="AL37" s="20"/>
      <c r="AM37" s="24"/>
      <c r="AN37" s="59"/>
      <c r="AO37" s="12"/>
      <c r="AP37" s="60"/>
    </row>
    <row r="38" spans="1:42" ht="15.6" x14ac:dyDescent="0.3">
      <c r="A38" s="23"/>
      <c r="B38" s="20" t="s">
        <v>360</v>
      </c>
      <c r="C38" s="20"/>
      <c r="D38" s="20" t="s">
        <v>6</v>
      </c>
      <c r="E38" s="20"/>
      <c r="F38" s="66"/>
      <c r="G38" s="20"/>
      <c r="H38" s="20" t="s">
        <v>126</v>
      </c>
      <c r="I38" s="20" t="s">
        <v>358</v>
      </c>
      <c r="J38" s="50">
        <v>2512</v>
      </c>
      <c r="K38" s="50">
        <v>26874</v>
      </c>
      <c r="L38" s="20" t="s">
        <v>126</v>
      </c>
      <c r="M38" s="20"/>
      <c r="N38" s="20"/>
      <c r="O38" s="20"/>
      <c r="P38" s="20"/>
      <c r="Q38" s="20"/>
      <c r="R38" s="20"/>
      <c r="S38" s="20"/>
      <c r="T38" s="20">
        <v>1973</v>
      </c>
      <c r="U38" s="20"/>
      <c r="V38" s="20"/>
      <c r="W38" s="20" t="s">
        <v>21</v>
      </c>
      <c r="X38" s="20" t="s">
        <v>8</v>
      </c>
      <c r="Y38" s="20"/>
      <c r="Z38" s="20"/>
      <c r="AA38" s="20"/>
      <c r="AB38" s="20"/>
      <c r="AC38" s="20"/>
      <c r="AD38" s="20"/>
      <c r="AE38" s="20"/>
      <c r="AF38" s="20"/>
      <c r="AG38" s="20"/>
      <c r="AH38" s="19"/>
      <c r="AI38" s="20"/>
      <c r="AJ38" s="20"/>
      <c r="AK38" s="20"/>
      <c r="AL38" s="20"/>
      <c r="AM38" s="24"/>
      <c r="AN38" s="59"/>
      <c r="AO38" s="12"/>
      <c r="AP38" s="60"/>
    </row>
    <row r="39" spans="1:42" ht="15.6" x14ac:dyDescent="0.3">
      <c r="A39" s="23"/>
      <c r="B39" s="20" t="s">
        <v>359</v>
      </c>
      <c r="C39" s="20"/>
      <c r="D39" s="20" t="s">
        <v>6</v>
      </c>
      <c r="E39" s="20"/>
      <c r="F39" s="66"/>
      <c r="G39" s="20"/>
      <c r="H39" s="20" t="s">
        <v>126</v>
      </c>
      <c r="I39" s="20" t="s">
        <v>358</v>
      </c>
      <c r="J39" s="50">
        <v>2512</v>
      </c>
      <c r="K39" s="50">
        <v>26874</v>
      </c>
      <c r="L39" s="20" t="s">
        <v>126</v>
      </c>
      <c r="M39" s="20"/>
      <c r="N39" s="20"/>
      <c r="O39" s="20"/>
      <c r="P39" s="20"/>
      <c r="Q39" s="20"/>
      <c r="R39" s="20"/>
      <c r="S39" s="20"/>
      <c r="T39" s="20">
        <v>1970</v>
      </c>
      <c r="U39" s="20"/>
      <c r="V39" s="20"/>
      <c r="W39" s="20" t="s">
        <v>21</v>
      </c>
      <c r="X39" s="20" t="s">
        <v>8</v>
      </c>
      <c r="Y39" s="20"/>
      <c r="Z39" s="20"/>
      <c r="AA39" s="20"/>
      <c r="AB39" s="20"/>
      <c r="AC39" s="20"/>
      <c r="AD39" s="20"/>
      <c r="AE39" s="20"/>
      <c r="AF39" s="20"/>
      <c r="AG39" s="20"/>
      <c r="AH39" s="19"/>
      <c r="AI39" s="20"/>
      <c r="AJ39" s="20"/>
      <c r="AK39" s="20"/>
      <c r="AL39" s="20"/>
      <c r="AM39" s="24"/>
      <c r="AN39" s="59"/>
      <c r="AO39" s="12"/>
      <c r="AP39" s="60"/>
    </row>
    <row r="40" spans="1:42" ht="15.6" x14ac:dyDescent="0.3">
      <c r="A40" s="23"/>
      <c r="B40" s="20" t="s">
        <v>174</v>
      </c>
      <c r="C40" s="20"/>
      <c r="D40" s="20" t="s">
        <v>6</v>
      </c>
      <c r="E40" s="20"/>
      <c r="F40" s="66"/>
      <c r="G40" s="20"/>
      <c r="H40" s="20" t="s">
        <v>7</v>
      </c>
      <c r="I40" s="20" t="s">
        <v>175</v>
      </c>
      <c r="J40" s="50">
        <v>25593</v>
      </c>
      <c r="K40" s="50" t="s">
        <v>204</v>
      </c>
      <c r="L40" s="20" t="s">
        <v>14</v>
      </c>
      <c r="M40" s="20"/>
      <c r="N40" s="20"/>
      <c r="O40" s="20"/>
      <c r="P40" s="20"/>
      <c r="Q40" s="20"/>
      <c r="R40" s="20"/>
      <c r="S40" s="20"/>
      <c r="T40" s="20">
        <v>2012</v>
      </c>
      <c r="U40" s="20"/>
      <c r="V40" s="20"/>
      <c r="W40" s="20" t="s">
        <v>21</v>
      </c>
      <c r="X40" s="20" t="s">
        <v>176</v>
      </c>
      <c r="Y40" s="20"/>
      <c r="Z40" s="20"/>
      <c r="AA40" s="20"/>
      <c r="AB40" s="20"/>
      <c r="AC40" s="20"/>
      <c r="AD40" s="20"/>
      <c r="AE40" s="20"/>
      <c r="AF40" s="20"/>
      <c r="AG40" s="20"/>
      <c r="AH40" s="19"/>
      <c r="AI40" s="20"/>
      <c r="AJ40" s="20"/>
      <c r="AK40" s="20"/>
      <c r="AL40" s="20"/>
      <c r="AM40" s="24"/>
      <c r="AN40" s="59"/>
      <c r="AO40" s="12"/>
      <c r="AP40" s="60"/>
    </row>
    <row r="41" spans="1:42" ht="15.6" x14ac:dyDescent="0.3">
      <c r="A41" s="23"/>
      <c r="B41" s="20" t="s">
        <v>380</v>
      </c>
      <c r="C41" s="20"/>
      <c r="D41" s="20" t="s">
        <v>6</v>
      </c>
      <c r="E41" s="20"/>
      <c r="F41" s="66"/>
      <c r="G41" s="20"/>
      <c r="H41" s="20" t="s">
        <v>21</v>
      </c>
      <c r="I41" s="20" t="s">
        <v>381</v>
      </c>
      <c r="J41" s="50">
        <v>15439</v>
      </c>
      <c r="K41" s="50">
        <v>44238</v>
      </c>
      <c r="L41" s="20" t="s">
        <v>22</v>
      </c>
      <c r="M41" s="20"/>
      <c r="N41" s="20"/>
      <c r="O41" s="20"/>
      <c r="P41" s="20"/>
      <c r="Q41" s="20"/>
      <c r="R41" s="20"/>
      <c r="S41" s="20"/>
      <c r="T41" s="20">
        <v>2017</v>
      </c>
      <c r="U41" s="20"/>
      <c r="V41" s="20"/>
      <c r="W41" s="20" t="s">
        <v>21</v>
      </c>
      <c r="X41" s="20" t="s">
        <v>8</v>
      </c>
      <c r="Y41" s="20"/>
      <c r="Z41" s="20"/>
      <c r="AA41" s="20"/>
      <c r="AB41" s="20"/>
      <c r="AC41" s="20"/>
      <c r="AD41" s="20"/>
      <c r="AE41" s="20"/>
      <c r="AF41" s="20"/>
      <c r="AG41" s="20"/>
      <c r="AH41" s="19"/>
      <c r="AI41" s="20"/>
      <c r="AJ41" s="20"/>
      <c r="AK41" s="20"/>
      <c r="AL41" s="20"/>
      <c r="AM41" s="24"/>
      <c r="AN41" s="59"/>
      <c r="AO41" s="12"/>
      <c r="AP41" s="60"/>
    </row>
    <row r="42" spans="1:42" ht="15.6" x14ac:dyDescent="0.3">
      <c r="A42" s="23"/>
      <c r="B42" s="20" t="s">
        <v>275</v>
      </c>
      <c r="C42" s="20"/>
      <c r="D42" s="20" t="s">
        <v>6</v>
      </c>
      <c r="E42" s="20"/>
      <c r="F42" s="66"/>
      <c r="G42" s="20"/>
      <c r="H42" s="20" t="s">
        <v>271</v>
      </c>
      <c r="I42" s="20" t="s">
        <v>273</v>
      </c>
      <c r="J42" s="50">
        <v>17403</v>
      </c>
      <c r="K42" s="50" t="s">
        <v>204</v>
      </c>
      <c r="L42" s="20" t="s">
        <v>284</v>
      </c>
      <c r="M42" s="20"/>
      <c r="N42" s="20"/>
      <c r="O42" s="20"/>
      <c r="P42" s="20"/>
      <c r="Q42" s="20"/>
      <c r="R42" s="20"/>
      <c r="S42" s="20"/>
      <c r="T42" s="20">
        <v>2019</v>
      </c>
      <c r="U42" s="20"/>
      <c r="V42" s="20"/>
      <c r="W42" s="20" t="s">
        <v>21</v>
      </c>
      <c r="X42" s="20" t="s">
        <v>274</v>
      </c>
      <c r="Y42" s="20"/>
      <c r="Z42" s="20"/>
      <c r="AA42" s="20"/>
      <c r="AB42" s="20"/>
      <c r="AC42" s="20"/>
      <c r="AD42" s="20"/>
      <c r="AE42" s="20"/>
      <c r="AF42" s="20"/>
      <c r="AG42" s="20"/>
      <c r="AH42" s="19"/>
      <c r="AI42" s="20"/>
      <c r="AJ42" s="20"/>
      <c r="AK42" s="20"/>
      <c r="AL42" s="20"/>
      <c r="AM42" s="24"/>
      <c r="AN42" s="59"/>
      <c r="AO42" s="12"/>
      <c r="AP42" s="60"/>
    </row>
    <row r="43" spans="1:42" ht="15.6" x14ac:dyDescent="0.3">
      <c r="A43" s="23"/>
      <c r="B43" s="20" t="s">
        <v>183</v>
      </c>
      <c r="C43" s="20"/>
      <c r="D43" s="20" t="s">
        <v>6</v>
      </c>
      <c r="E43" s="20"/>
      <c r="F43" s="66"/>
      <c r="G43" s="20"/>
      <c r="H43" s="20" t="s">
        <v>7</v>
      </c>
      <c r="I43" s="20" t="s">
        <v>195</v>
      </c>
      <c r="J43" s="50">
        <v>22868</v>
      </c>
      <c r="K43" s="50" t="s">
        <v>204</v>
      </c>
      <c r="L43" s="20" t="s">
        <v>182</v>
      </c>
      <c r="M43" s="20"/>
      <c r="N43" s="20"/>
      <c r="O43" s="20"/>
      <c r="P43" s="20"/>
      <c r="Q43" s="20"/>
      <c r="R43" s="20"/>
      <c r="S43" s="20"/>
      <c r="T43" s="20">
        <v>2016</v>
      </c>
      <c r="U43" s="20"/>
      <c r="V43" s="20"/>
      <c r="W43" s="20" t="s">
        <v>21</v>
      </c>
      <c r="X43" s="20" t="s">
        <v>8</v>
      </c>
      <c r="Y43" s="20"/>
      <c r="Z43" s="20"/>
      <c r="AA43" s="20"/>
      <c r="AB43" s="20"/>
      <c r="AC43" s="20"/>
      <c r="AD43" s="20" t="s">
        <v>1430</v>
      </c>
      <c r="AE43" s="20"/>
      <c r="AF43" s="20"/>
      <c r="AG43" s="20"/>
      <c r="AH43" s="19"/>
      <c r="AI43" s="20"/>
      <c r="AJ43" s="20"/>
      <c r="AK43" s="20"/>
      <c r="AL43" s="20"/>
      <c r="AM43" s="24"/>
      <c r="AN43" s="59"/>
      <c r="AO43" s="12"/>
      <c r="AP43" s="60"/>
    </row>
    <row r="44" spans="1:42" ht="15.6" x14ac:dyDescent="0.3">
      <c r="A44" s="23"/>
      <c r="B44" s="20" t="s">
        <v>185</v>
      </c>
      <c r="C44" s="20"/>
      <c r="D44" s="20" t="s">
        <v>6</v>
      </c>
      <c r="E44" s="20"/>
      <c r="F44" s="66"/>
      <c r="G44" s="20"/>
      <c r="H44" s="20" t="s">
        <v>7</v>
      </c>
      <c r="I44" s="20" t="s">
        <v>195</v>
      </c>
      <c r="J44" s="50">
        <v>22868</v>
      </c>
      <c r="K44" s="50" t="s">
        <v>204</v>
      </c>
      <c r="L44" s="20" t="s">
        <v>182</v>
      </c>
      <c r="M44" s="20"/>
      <c r="N44" s="20"/>
      <c r="O44" s="20"/>
      <c r="P44" s="20"/>
      <c r="Q44" s="20"/>
      <c r="R44" s="20"/>
      <c r="S44" s="20"/>
      <c r="T44" s="20">
        <v>2013</v>
      </c>
      <c r="U44" s="20"/>
      <c r="V44" s="20"/>
      <c r="W44" s="20" t="s">
        <v>21</v>
      </c>
      <c r="X44" s="20" t="s">
        <v>8</v>
      </c>
      <c r="Y44" s="20"/>
      <c r="Z44" s="20"/>
      <c r="AA44" s="20"/>
      <c r="AB44" s="20"/>
      <c r="AC44" s="20"/>
      <c r="AD44" s="20" t="s">
        <v>1431</v>
      </c>
      <c r="AE44" s="20"/>
      <c r="AF44" s="20"/>
      <c r="AG44" s="20"/>
      <c r="AH44" s="19"/>
      <c r="AI44" s="20"/>
      <c r="AJ44" s="20"/>
      <c r="AK44" s="20"/>
      <c r="AL44" s="20"/>
      <c r="AM44" s="24"/>
      <c r="AN44" s="59"/>
      <c r="AO44" s="12"/>
      <c r="AP44" s="60"/>
    </row>
    <row r="45" spans="1:42" ht="15.6" x14ac:dyDescent="0.3">
      <c r="A45" s="23"/>
      <c r="B45" s="20" t="s">
        <v>184</v>
      </c>
      <c r="C45" s="20"/>
      <c r="D45" s="20" t="s">
        <v>6</v>
      </c>
      <c r="E45" s="20"/>
      <c r="F45" s="66"/>
      <c r="G45" s="20"/>
      <c r="H45" s="20" t="s">
        <v>7</v>
      </c>
      <c r="I45" s="20" t="s">
        <v>195</v>
      </c>
      <c r="J45" s="50">
        <v>22868</v>
      </c>
      <c r="K45" s="50" t="s">
        <v>204</v>
      </c>
      <c r="L45" s="20" t="s">
        <v>182</v>
      </c>
      <c r="M45" s="20"/>
      <c r="N45" s="20"/>
      <c r="O45" s="20"/>
      <c r="P45" s="20"/>
      <c r="Q45" s="20"/>
      <c r="R45" s="20"/>
      <c r="S45" s="20"/>
      <c r="T45" s="20">
        <v>2014</v>
      </c>
      <c r="U45" s="20"/>
      <c r="V45" s="20"/>
      <c r="W45" s="20" t="s">
        <v>21</v>
      </c>
      <c r="X45" s="20" t="s">
        <v>8</v>
      </c>
      <c r="Y45" s="20"/>
      <c r="Z45" s="20"/>
      <c r="AA45" s="20"/>
      <c r="AB45" s="20"/>
      <c r="AC45" s="20"/>
      <c r="AD45" s="20" t="s">
        <v>1432</v>
      </c>
      <c r="AE45" s="20"/>
      <c r="AF45" s="20"/>
      <c r="AG45" s="20"/>
      <c r="AH45" s="19"/>
      <c r="AI45" s="20"/>
      <c r="AJ45" s="20"/>
      <c r="AK45" s="20"/>
      <c r="AL45" s="20"/>
      <c r="AM45" s="24"/>
      <c r="AN45" s="59"/>
      <c r="AO45" s="12"/>
      <c r="AP45" s="60"/>
    </row>
    <row r="46" spans="1:42" ht="15.6" x14ac:dyDescent="0.3">
      <c r="A46" s="23"/>
      <c r="B46" s="20" t="s">
        <v>363</v>
      </c>
      <c r="C46" s="20"/>
      <c r="D46" s="20" t="s">
        <v>6</v>
      </c>
      <c r="E46" s="20"/>
      <c r="F46" s="66"/>
      <c r="G46" s="20"/>
      <c r="H46" s="20" t="s">
        <v>7</v>
      </c>
      <c r="I46" s="20" t="s">
        <v>361</v>
      </c>
      <c r="J46" s="50" t="s">
        <v>362</v>
      </c>
      <c r="K46" s="50">
        <v>8982</v>
      </c>
      <c r="L46" s="20" t="s">
        <v>13</v>
      </c>
      <c r="M46" s="20"/>
      <c r="N46" s="20"/>
      <c r="O46" s="20"/>
      <c r="P46" s="20"/>
      <c r="Q46" s="20"/>
      <c r="R46" s="20"/>
      <c r="S46" s="20"/>
      <c r="T46" s="20">
        <v>2000</v>
      </c>
      <c r="U46" s="20"/>
      <c r="V46" s="20"/>
      <c r="W46" s="20" t="s">
        <v>21</v>
      </c>
      <c r="X46" s="20" t="s">
        <v>8</v>
      </c>
      <c r="Y46" s="20"/>
      <c r="Z46" s="20"/>
      <c r="AA46" s="20"/>
      <c r="AB46" s="20"/>
      <c r="AC46" s="20"/>
      <c r="AD46" s="20"/>
      <c r="AE46" s="20"/>
      <c r="AF46" s="20"/>
      <c r="AG46" s="20"/>
      <c r="AH46" s="19"/>
      <c r="AI46" s="20"/>
      <c r="AJ46" s="20"/>
      <c r="AK46" s="20"/>
      <c r="AL46" s="20"/>
      <c r="AM46" s="24"/>
      <c r="AN46" s="59"/>
      <c r="AO46" s="12"/>
      <c r="AP46" s="60"/>
    </row>
    <row r="47" spans="1:42" ht="15.6" x14ac:dyDescent="0.3">
      <c r="A47" s="23"/>
      <c r="B47" s="20" t="s">
        <v>364</v>
      </c>
      <c r="C47" s="20"/>
      <c r="D47" s="20" t="s">
        <v>6</v>
      </c>
      <c r="E47" s="20"/>
      <c r="F47" s="66"/>
      <c r="G47" s="20"/>
      <c r="H47" s="20" t="s">
        <v>7</v>
      </c>
      <c r="I47" s="20" t="s">
        <v>361</v>
      </c>
      <c r="J47" s="50" t="s">
        <v>362</v>
      </c>
      <c r="K47" s="50">
        <v>8982</v>
      </c>
      <c r="L47" s="20" t="s">
        <v>13</v>
      </c>
      <c r="M47" s="20"/>
      <c r="N47" s="20"/>
      <c r="O47" s="20"/>
      <c r="P47" s="20"/>
      <c r="Q47" s="20"/>
      <c r="R47" s="20"/>
      <c r="S47" s="20"/>
      <c r="T47" s="20">
        <v>1999</v>
      </c>
      <c r="U47" s="20"/>
      <c r="V47" s="20"/>
      <c r="W47" s="20" t="s">
        <v>21</v>
      </c>
      <c r="X47" s="20" t="s">
        <v>8</v>
      </c>
      <c r="Y47" s="20"/>
      <c r="Z47" s="20"/>
      <c r="AA47" s="20"/>
      <c r="AB47" s="20"/>
      <c r="AC47" s="20"/>
      <c r="AD47" s="20"/>
      <c r="AE47" s="20"/>
      <c r="AF47" s="20"/>
      <c r="AG47" s="20"/>
      <c r="AH47" s="19"/>
      <c r="AI47" s="20"/>
      <c r="AJ47" s="20"/>
      <c r="AK47" s="20"/>
      <c r="AL47" s="20"/>
      <c r="AM47" s="24"/>
      <c r="AN47" s="59"/>
      <c r="AO47" s="12"/>
      <c r="AP47" s="60"/>
    </row>
    <row r="48" spans="1:42" ht="15.6" x14ac:dyDescent="0.3">
      <c r="A48" s="23"/>
      <c r="B48" s="20" t="s">
        <v>986</v>
      </c>
      <c r="C48" s="20" t="s">
        <v>986</v>
      </c>
      <c r="D48" s="20" t="s">
        <v>6</v>
      </c>
      <c r="E48" s="20" t="s">
        <v>81</v>
      </c>
      <c r="F48" s="66" t="s">
        <v>990</v>
      </c>
      <c r="G48" s="20">
        <v>2000</v>
      </c>
      <c r="H48" s="20" t="s">
        <v>21</v>
      </c>
      <c r="I48" s="20" t="s">
        <v>1209</v>
      </c>
      <c r="J48" s="50" t="s">
        <v>989</v>
      </c>
      <c r="K48" s="50" t="s">
        <v>204</v>
      </c>
      <c r="L48" s="20" t="s">
        <v>22</v>
      </c>
      <c r="M48" s="20" t="s">
        <v>645</v>
      </c>
      <c r="N48" s="20" t="s">
        <v>1268</v>
      </c>
      <c r="O48" s="20" t="s">
        <v>1268</v>
      </c>
      <c r="P48" s="20"/>
      <c r="Q48" s="20"/>
      <c r="R48" s="20"/>
      <c r="S48" s="20"/>
      <c r="T48" s="20">
        <v>2000</v>
      </c>
      <c r="U48" s="20"/>
      <c r="V48" s="20"/>
      <c r="W48" s="20" t="s">
        <v>21</v>
      </c>
      <c r="X48" s="20" t="s">
        <v>152</v>
      </c>
      <c r="Y48" s="20"/>
      <c r="Z48" s="20"/>
      <c r="AA48" s="20"/>
      <c r="AB48" s="20" t="s">
        <v>988</v>
      </c>
      <c r="AC48" s="20">
        <v>117</v>
      </c>
      <c r="AD48" s="20"/>
      <c r="AE48" s="20"/>
      <c r="AF48" s="20"/>
      <c r="AG48" s="20" t="s">
        <v>987</v>
      </c>
      <c r="AH48" s="19">
        <v>9.1999999999999993</v>
      </c>
      <c r="AI48" s="20"/>
      <c r="AJ48" s="20"/>
      <c r="AK48" s="20"/>
      <c r="AL48" s="20"/>
      <c r="AM48" s="24"/>
      <c r="AN48" s="59"/>
      <c r="AO48" s="12"/>
      <c r="AP48" s="60"/>
    </row>
    <row r="49" spans="1:42" ht="15.6" x14ac:dyDescent="0.3">
      <c r="A49" s="23"/>
      <c r="B49" s="20" t="s">
        <v>115</v>
      </c>
      <c r="C49" s="20"/>
      <c r="D49" s="20" t="s">
        <v>6</v>
      </c>
      <c r="E49" s="20"/>
      <c r="F49" s="66"/>
      <c r="G49" s="20"/>
      <c r="H49" s="20" t="s">
        <v>7</v>
      </c>
      <c r="I49" s="20" t="s">
        <v>117</v>
      </c>
      <c r="J49" s="50">
        <v>24171</v>
      </c>
      <c r="K49" s="50" t="s">
        <v>204</v>
      </c>
      <c r="L49" s="20" t="s">
        <v>14</v>
      </c>
      <c r="M49" s="20"/>
      <c r="N49" s="20"/>
      <c r="O49" s="20"/>
      <c r="P49" s="20"/>
      <c r="Q49" s="20"/>
      <c r="R49" s="20"/>
      <c r="S49" s="20"/>
      <c r="T49" s="20">
        <v>2019</v>
      </c>
      <c r="U49" s="20"/>
      <c r="V49" s="20"/>
      <c r="W49" s="20" t="s">
        <v>21</v>
      </c>
      <c r="X49" s="20" t="s">
        <v>116</v>
      </c>
      <c r="Y49" s="20"/>
      <c r="Z49" s="20"/>
      <c r="AA49" s="20"/>
      <c r="AB49" s="20"/>
      <c r="AC49" s="20"/>
      <c r="AD49" s="20"/>
      <c r="AE49" s="20"/>
      <c r="AF49" s="20"/>
      <c r="AG49" s="20"/>
      <c r="AH49" s="19"/>
      <c r="AI49" s="20"/>
      <c r="AJ49" s="20"/>
      <c r="AK49" s="20"/>
      <c r="AL49" s="20"/>
      <c r="AM49" s="24"/>
      <c r="AN49" s="59"/>
      <c r="AO49" s="12"/>
      <c r="AP49" s="60"/>
    </row>
    <row r="50" spans="1:42" ht="15.6" x14ac:dyDescent="0.3">
      <c r="A50" s="23"/>
      <c r="B50" s="20" t="s">
        <v>239</v>
      </c>
      <c r="C50" s="20" t="s">
        <v>239</v>
      </c>
      <c r="D50" s="20" t="s">
        <v>6</v>
      </c>
      <c r="E50" s="20" t="s">
        <v>81</v>
      </c>
      <c r="F50" s="66" t="s">
        <v>974</v>
      </c>
      <c r="G50" s="20">
        <v>1886</v>
      </c>
      <c r="H50" s="20" t="s">
        <v>21</v>
      </c>
      <c r="I50" s="20" t="s">
        <v>240</v>
      </c>
      <c r="J50" s="50" t="s">
        <v>241</v>
      </c>
      <c r="K50" s="50">
        <v>2993</v>
      </c>
      <c r="L50" s="20" t="s">
        <v>22</v>
      </c>
      <c r="M50" s="20" t="s">
        <v>617</v>
      </c>
      <c r="N50" s="20" t="s">
        <v>1268</v>
      </c>
      <c r="O50" s="20" t="s">
        <v>1268</v>
      </c>
      <c r="P50" s="20"/>
      <c r="Q50" s="20"/>
      <c r="R50" s="20"/>
      <c r="S50" s="20"/>
      <c r="T50" s="20">
        <v>2013</v>
      </c>
      <c r="U50" s="20"/>
      <c r="V50" s="20"/>
      <c r="W50" s="20" t="s">
        <v>21</v>
      </c>
      <c r="X50" s="20" t="s">
        <v>242</v>
      </c>
      <c r="Y50" s="20"/>
      <c r="Z50" s="20"/>
      <c r="AA50" s="20"/>
      <c r="AB50" s="20" t="s">
        <v>973</v>
      </c>
      <c r="AC50" s="20">
        <v>252</v>
      </c>
      <c r="AD50" s="20"/>
      <c r="AE50" s="20"/>
      <c r="AF50" s="20"/>
      <c r="AG50" s="20" t="s">
        <v>967</v>
      </c>
      <c r="AH50" s="19">
        <v>3.9</v>
      </c>
      <c r="AI50" s="20"/>
      <c r="AJ50" s="20"/>
      <c r="AK50" s="20"/>
      <c r="AL50" s="20"/>
      <c r="AM50" s="24"/>
      <c r="AN50" s="59"/>
      <c r="AO50" s="12"/>
      <c r="AP50" s="60"/>
    </row>
    <row r="51" spans="1:42" ht="15.6" x14ac:dyDescent="0.3">
      <c r="A51" s="23"/>
      <c r="B51" s="20" t="s">
        <v>657</v>
      </c>
      <c r="C51" s="20" t="s">
        <v>658</v>
      </c>
      <c r="D51" s="20" t="s">
        <v>6</v>
      </c>
      <c r="E51" s="20" t="s">
        <v>81</v>
      </c>
      <c r="F51" s="66" t="s">
        <v>666</v>
      </c>
      <c r="G51" s="20" t="s">
        <v>663</v>
      </c>
      <c r="H51" s="20" t="s">
        <v>276</v>
      </c>
      <c r="I51" s="20" t="s">
        <v>659</v>
      </c>
      <c r="J51" s="50" t="s">
        <v>664</v>
      </c>
      <c r="K51" s="50" t="s">
        <v>665</v>
      </c>
      <c r="L51" s="20" t="s">
        <v>276</v>
      </c>
      <c r="M51" s="20" t="s">
        <v>617</v>
      </c>
      <c r="N51" s="20" t="s">
        <v>1268</v>
      </c>
      <c r="O51" s="20" t="s">
        <v>1268</v>
      </c>
      <c r="P51" s="20"/>
      <c r="Q51" s="20"/>
      <c r="R51" s="20"/>
      <c r="S51" s="20"/>
      <c r="T51" s="20">
        <v>2015</v>
      </c>
      <c r="U51" s="20"/>
      <c r="V51" s="20"/>
      <c r="W51" s="20" t="s">
        <v>21</v>
      </c>
      <c r="X51" s="20" t="s">
        <v>277</v>
      </c>
      <c r="Y51" s="20"/>
      <c r="Z51" s="20"/>
      <c r="AA51" s="20"/>
      <c r="AB51" s="20" t="s">
        <v>661</v>
      </c>
      <c r="AC51" s="20" t="s">
        <v>662</v>
      </c>
      <c r="AD51" s="20"/>
      <c r="AE51" s="20"/>
      <c r="AF51" s="20"/>
      <c r="AG51" s="20" t="s">
        <v>660</v>
      </c>
      <c r="AH51" s="19">
        <v>25</v>
      </c>
      <c r="AI51" s="20"/>
      <c r="AJ51" s="20"/>
      <c r="AK51" s="20"/>
      <c r="AL51" s="20"/>
      <c r="AM51" s="24"/>
      <c r="AN51" s="59"/>
      <c r="AO51" s="12"/>
      <c r="AP51" s="60"/>
    </row>
    <row r="52" spans="1:42" ht="31.2" x14ac:dyDescent="0.3">
      <c r="A52" s="23"/>
      <c r="B52" s="20" t="s">
        <v>221</v>
      </c>
      <c r="C52" s="20" t="s">
        <v>996</v>
      </c>
      <c r="D52" s="20" t="s">
        <v>6</v>
      </c>
      <c r="E52" s="20" t="s">
        <v>76</v>
      </c>
      <c r="F52" s="66" t="s">
        <v>997</v>
      </c>
      <c r="G52" s="20">
        <v>1943</v>
      </c>
      <c r="H52" s="20" t="s">
        <v>126</v>
      </c>
      <c r="I52" s="20" t="s">
        <v>222</v>
      </c>
      <c r="J52" s="50" t="s">
        <v>223</v>
      </c>
      <c r="K52" s="50">
        <v>16284</v>
      </c>
      <c r="L52" s="20" t="s">
        <v>126</v>
      </c>
      <c r="M52" s="20" t="s">
        <v>617</v>
      </c>
      <c r="N52" s="20" t="s">
        <v>1268</v>
      </c>
      <c r="O52" s="20" t="s">
        <v>1268</v>
      </c>
      <c r="P52" s="20"/>
      <c r="Q52" s="20"/>
      <c r="R52" s="20"/>
      <c r="S52" s="20"/>
      <c r="T52" s="20">
        <v>2011</v>
      </c>
      <c r="U52" s="20"/>
      <c r="V52" s="20"/>
      <c r="W52" s="20" t="s">
        <v>21</v>
      </c>
      <c r="X52" s="20" t="s">
        <v>111</v>
      </c>
      <c r="Y52" s="20"/>
      <c r="Z52" s="20"/>
      <c r="AA52" s="20"/>
      <c r="AB52" s="20" t="s">
        <v>995</v>
      </c>
      <c r="AC52" s="20">
        <v>125</v>
      </c>
      <c r="AD52" s="20"/>
      <c r="AE52" s="20"/>
      <c r="AF52" s="20"/>
      <c r="AG52" s="20" t="s">
        <v>975</v>
      </c>
      <c r="AH52" s="19">
        <v>7.9</v>
      </c>
      <c r="AI52" s="20"/>
      <c r="AJ52" s="20"/>
      <c r="AK52" s="20"/>
      <c r="AL52" s="20"/>
      <c r="AM52" s="24"/>
      <c r="AN52" s="59"/>
      <c r="AO52" s="12"/>
      <c r="AP52" s="60"/>
    </row>
    <row r="53" spans="1:42" ht="15.6" x14ac:dyDescent="0.3">
      <c r="A53" s="23"/>
      <c r="B53" s="20" t="s">
        <v>1044</v>
      </c>
      <c r="C53" s="20" t="s">
        <v>1049</v>
      </c>
      <c r="D53" s="20" t="s">
        <v>6</v>
      </c>
      <c r="E53" s="20" t="s">
        <v>76</v>
      </c>
      <c r="F53" s="66" t="s">
        <v>1050</v>
      </c>
      <c r="G53" s="20">
        <v>1843</v>
      </c>
      <c r="H53" s="20" t="s">
        <v>7</v>
      </c>
      <c r="I53" s="20" t="s">
        <v>1045</v>
      </c>
      <c r="J53" s="50" t="s">
        <v>1046</v>
      </c>
      <c r="K53" s="50" t="s">
        <v>1047</v>
      </c>
      <c r="L53" s="20" t="s">
        <v>13</v>
      </c>
      <c r="M53" s="20" t="s">
        <v>617</v>
      </c>
      <c r="N53" s="20" t="s">
        <v>1268</v>
      </c>
      <c r="O53" s="20" t="s">
        <v>1268</v>
      </c>
      <c r="P53" s="20"/>
      <c r="Q53" s="20"/>
      <c r="R53" s="20"/>
      <c r="S53" s="20"/>
      <c r="T53" s="20">
        <v>2020</v>
      </c>
      <c r="U53" s="20"/>
      <c r="V53" s="20"/>
      <c r="W53" s="20" t="s">
        <v>21</v>
      </c>
      <c r="X53" s="20" t="s">
        <v>11</v>
      </c>
      <c r="Y53" s="20"/>
      <c r="Z53" s="20"/>
      <c r="AA53" s="20"/>
      <c r="AB53" s="20" t="s">
        <v>1048</v>
      </c>
      <c r="AC53" s="20">
        <v>161</v>
      </c>
      <c r="AD53" s="20"/>
      <c r="AE53" s="20"/>
      <c r="AF53" s="20"/>
      <c r="AG53" s="20" t="s">
        <v>629</v>
      </c>
      <c r="AH53" s="19">
        <v>17</v>
      </c>
      <c r="AI53" s="20"/>
      <c r="AJ53" s="20"/>
      <c r="AK53" s="20"/>
      <c r="AL53" s="20"/>
      <c r="AM53" s="24"/>
      <c r="AN53" s="59"/>
      <c r="AO53" s="12"/>
      <c r="AP53" s="60"/>
    </row>
    <row r="54" spans="1:42" ht="15.6" x14ac:dyDescent="0.3">
      <c r="A54" s="23"/>
      <c r="B54" s="20" t="s">
        <v>33</v>
      </c>
      <c r="C54" s="20"/>
      <c r="D54" s="20" t="s">
        <v>6</v>
      </c>
      <c r="E54" s="20"/>
      <c r="F54" s="66"/>
      <c r="G54" s="20"/>
      <c r="H54" s="20" t="s">
        <v>7</v>
      </c>
      <c r="I54" s="20" t="s">
        <v>35</v>
      </c>
      <c r="J54" s="50" t="s">
        <v>198</v>
      </c>
      <c r="K54" s="50" t="s">
        <v>205</v>
      </c>
      <c r="L54" s="20" t="s">
        <v>34</v>
      </c>
      <c r="M54" s="20"/>
      <c r="N54" s="20"/>
      <c r="O54" s="20"/>
      <c r="P54" s="20"/>
      <c r="Q54" s="20"/>
      <c r="R54" s="20"/>
      <c r="S54" s="20"/>
      <c r="T54" s="20">
        <v>2015</v>
      </c>
      <c r="U54" s="20"/>
      <c r="V54" s="20"/>
      <c r="W54" s="20" t="s">
        <v>21</v>
      </c>
      <c r="X54" s="20" t="s">
        <v>8</v>
      </c>
      <c r="Y54" s="20"/>
      <c r="Z54" s="20"/>
      <c r="AA54" s="20"/>
      <c r="AB54" s="20"/>
      <c r="AC54" s="20"/>
      <c r="AD54" s="20"/>
      <c r="AE54" s="20"/>
      <c r="AF54" s="20"/>
      <c r="AG54" s="20"/>
      <c r="AH54" s="19"/>
      <c r="AI54" s="20"/>
      <c r="AJ54" s="20"/>
      <c r="AK54" s="20"/>
      <c r="AL54" s="20"/>
      <c r="AM54" s="24"/>
      <c r="AN54" s="59"/>
      <c r="AO54" s="12"/>
      <c r="AP54" s="60"/>
    </row>
    <row r="55" spans="1:42" ht="15.6" x14ac:dyDescent="0.3">
      <c r="A55" s="23"/>
      <c r="B55" s="20" t="s">
        <v>127</v>
      </c>
      <c r="C55" s="20" t="s">
        <v>895</v>
      </c>
      <c r="D55" s="20" t="s">
        <v>6</v>
      </c>
      <c r="E55" s="20" t="s">
        <v>81</v>
      </c>
      <c r="F55" s="66" t="s">
        <v>892</v>
      </c>
      <c r="G55" s="20">
        <v>1865</v>
      </c>
      <c r="H55" s="20" t="s">
        <v>7</v>
      </c>
      <c r="I55" s="20" t="s">
        <v>1191</v>
      </c>
      <c r="J55" s="50" t="s">
        <v>199</v>
      </c>
      <c r="K55" s="50" t="s">
        <v>200</v>
      </c>
      <c r="L55" s="20" t="s">
        <v>13</v>
      </c>
      <c r="M55" s="20" t="s">
        <v>617</v>
      </c>
      <c r="N55" s="20" t="s">
        <v>1268</v>
      </c>
      <c r="O55" s="20" t="s">
        <v>1268</v>
      </c>
      <c r="P55" s="20"/>
      <c r="Q55" s="20"/>
      <c r="R55" s="20"/>
      <c r="S55" s="20"/>
      <c r="T55" s="20">
        <v>2021</v>
      </c>
      <c r="U55" s="20"/>
      <c r="V55" s="20"/>
      <c r="W55" s="20" t="s">
        <v>21</v>
      </c>
      <c r="X55" s="20" t="s">
        <v>130</v>
      </c>
      <c r="Y55" s="20"/>
      <c r="Z55" s="20"/>
      <c r="AA55" s="20"/>
      <c r="AB55" s="20" t="s">
        <v>914</v>
      </c>
      <c r="AC55" s="20">
        <v>267</v>
      </c>
      <c r="AD55" s="20" t="s">
        <v>1433</v>
      </c>
      <c r="AE55" s="20"/>
      <c r="AF55" s="20"/>
      <c r="AG55" s="20" t="s">
        <v>909</v>
      </c>
      <c r="AH55" s="19">
        <v>29.9</v>
      </c>
      <c r="AI55" s="20"/>
      <c r="AJ55" s="20"/>
      <c r="AK55" s="20"/>
      <c r="AL55" s="20"/>
      <c r="AM55" s="24"/>
      <c r="AN55" s="59"/>
      <c r="AO55" s="12"/>
      <c r="AP55" s="60"/>
    </row>
    <row r="56" spans="1:42" ht="15.6" x14ac:dyDescent="0.3">
      <c r="A56" s="23"/>
      <c r="B56" s="20" t="s">
        <v>129</v>
      </c>
      <c r="C56" s="20" t="s">
        <v>912</v>
      </c>
      <c r="D56" s="20" t="s">
        <v>6</v>
      </c>
      <c r="E56" s="20" t="s">
        <v>81</v>
      </c>
      <c r="F56" s="66" t="s">
        <v>913</v>
      </c>
      <c r="G56" s="20" t="s">
        <v>889</v>
      </c>
      <c r="H56" s="20" t="s">
        <v>7</v>
      </c>
      <c r="I56" s="20" t="s">
        <v>1191</v>
      </c>
      <c r="J56" s="50" t="s">
        <v>199</v>
      </c>
      <c r="K56" s="50" t="s">
        <v>200</v>
      </c>
      <c r="L56" s="20" t="s">
        <v>13</v>
      </c>
      <c r="M56" s="20" t="s">
        <v>617</v>
      </c>
      <c r="N56" s="20" t="s">
        <v>1268</v>
      </c>
      <c r="O56" s="20" t="s">
        <v>1268</v>
      </c>
      <c r="P56" s="20"/>
      <c r="Q56" s="20"/>
      <c r="R56" s="20"/>
      <c r="S56" s="20"/>
      <c r="T56" s="20">
        <v>2022</v>
      </c>
      <c r="U56" s="20"/>
      <c r="V56" s="20"/>
      <c r="W56" s="20" t="s">
        <v>21</v>
      </c>
      <c r="X56" s="20" t="s">
        <v>130</v>
      </c>
      <c r="Y56" s="20"/>
      <c r="Z56" s="20"/>
      <c r="AA56" s="20"/>
      <c r="AB56" s="20" t="s">
        <v>910</v>
      </c>
      <c r="AC56" s="20">
        <v>285</v>
      </c>
      <c r="AD56" s="20" t="s">
        <v>1434</v>
      </c>
      <c r="AE56" s="20"/>
      <c r="AF56" s="20"/>
      <c r="AG56" s="20" t="s">
        <v>909</v>
      </c>
      <c r="AH56" s="19">
        <v>29.9</v>
      </c>
      <c r="AI56" s="20"/>
      <c r="AJ56" s="20"/>
      <c r="AK56" s="20"/>
      <c r="AL56" s="20"/>
      <c r="AM56" s="24"/>
      <c r="AN56" s="59"/>
      <c r="AO56" s="12"/>
      <c r="AP56" s="60"/>
    </row>
    <row r="57" spans="1:42" ht="15.6" x14ac:dyDescent="0.3">
      <c r="A57" s="23"/>
      <c r="B57" s="20" t="s">
        <v>902</v>
      </c>
      <c r="C57" s="20" t="s">
        <v>895</v>
      </c>
      <c r="D57" s="20" t="s">
        <v>6</v>
      </c>
      <c r="E57" s="20" t="s">
        <v>81</v>
      </c>
      <c r="F57" s="66" t="s">
        <v>892</v>
      </c>
      <c r="G57" s="20">
        <v>1865</v>
      </c>
      <c r="H57" s="20" t="s">
        <v>7</v>
      </c>
      <c r="I57" s="20" t="s">
        <v>1191</v>
      </c>
      <c r="J57" s="50" t="s">
        <v>199</v>
      </c>
      <c r="K57" s="50" t="s">
        <v>200</v>
      </c>
      <c r="L57" s="20" t="s">
        <v>13</v>
      </c>
      <c r="M57" s="20" t="s">
        <v>617</v>
      </c>
      <c r="N57" s="20" t="s">
        <v>1268</v>
      </c>
      <c r="O57" s="20" t="s">
        <v>1268</v>
      </c>
      <c r="P57" s="20"/>
      <c r="Q57" s="20"/>
      <c r="R57" s="20"/>
      <c r="S57" s="20"/>
      <c r="T57" s="20">
        <v>2006</v>
      </c>
      <c r="U57" s="20"/>
      <c r="V57" s="20"/>
      <c r="W57" s="20" t="s">
        <v>904</v>
      </c>
      <c r="X57" s="20" t="s">
        <v>905</v>
      </c>
      <c r="Y57" s="20"/>
      <c r="Z57" s="20"/>
      <c r="AA57" s="20"/>
      <c r="AB57" s="20" t="s">
        <v>906</v>
      </c>
      <c r="AC57" s="20">
        <v>160</v>
      </c>
      <c r="AD57" s="20"/>
      <c r="AE57" s="20"/>
      <c r="AF57" s="20"/>
      <c r="AG57" s="20" t="s">
        <v>903</v>
      </c>
      <c r="AH57" s="19">
        <f>9.99/3.5258396</f>
        <v>2.8333676892164918</v>
      </c>
      <c r="AI57" s="20" t="s">
        <v>908</v>
      </c>
      <c r="AJ57" s="20"/>
      <c r="AK57" s="20"/>
      <c r="AL57" s="20"/>
      <c r="AM57" s="24"/>
      <c r="AN57" s="59"/>
      <c r="AO57" s="12"/>
      <c r="AP57" s="60"/>
    </row>
    <row r="58" spans="1:42" ht="15.6" x14ac:dyDescent="0.3">
      <c r="A58" s="23"/>
      <c r="B58" s="20" t="s">
        <v>127</v>
      </c>
      <c r="C58" s="20" t="s">
        <v>895</v>
      </c>
      <c r="D58" s="20" t="s">
        <v>6</v>
      </c>
      <c r="E58" s="20" t="s">
        <v>81</v>
      </c>
      <c r="F58" s="66" t="s">
        <v>892</v>
      </c>
      <c r="G58" s="20">
        <v>1865</v>
      </c>
      <c r="H58" s="20" t="s">
        <v>7</v>
      </c>
      <c r="I58" s="20" t="s">
        <v>1191</v>
      </c>
      <c r="J58" s="50" t="s">
        <v>199</v>
      </c>
      <c r="K58" s="50" t="s">
        <v>200</v>
      </c>
      <c r="L58" s="20" t="s">
        <v>13</v>
      </c>
      <c r="M58" s="20" t="s">
        <v>617</v>
      </c>
      <c r="N58" s="20" t="s">
        <v>1268</v>
      </c>
      <c r="O58" s="20" t="s">
        <v>1268</v>
      </c>
      <c r="P58" s="20"/>
      <c r="Q58" s="20"/>
      <c r="R58" s="20"/>
      <c r="S58" s="20"/>
      <c r="T58" s="20">
        <v>2013</v>
      </c>
      <c r="U58" s="20"/>
      <c r="V58" s="20"/>
      <c r="W58" s="20" t="s">
        <v>21</v>
      </c>
      <c r="X58" s="20" t="s">
        <v>20</v>
      </c>
      <c r="Y58" s="20"/>
      <c r="Z58" s="20"/>
      <c r="AA58" s="20"/>
      <c r="AB58" s="20" t="s">
        <v>894</v>
      </c>
      <c r="AC58" s="20">
        <v>145</v>
      </c>
      <c r="AD58" s="20"/>
      <c r="AE58" s="20"/>
      <c r="AF58" s="20"/>
      <c r="AG58" s="20" t="s">
        <v>967</v>
      </c>
      <c r="AH58" s="19">
        <v>3.9</v>
      </c>
      <c r="AI58" s="20"/>
      <c r="AJ58" s="20"/>
      <c r="AK58" s="20"/>
      <c r="AL58" s="20"/>
      <c r="AM58" s="24"/>
      <c r="AN58" s="59"/>
      <c r="AO58" s="12"/>
      <c r="AP58" s="60"/>
    </row>
    <row r="59" spans="1:42" ht="15.6" x14ac:dyDescent="0.3">
      <c r="A59" s="23"/>
      <c r="B59" s="20" t="s">
        <v>884</v>
      </c>
      <c r="C59" s="20" t="s">
        <v>888</v>
      </c>
      <c r="D59" s="20" t="s">
        <v>6</v>
      </c>
      <c r="E59" s="20" t="s">
        <v>81</v>
      </c>
      <c r="F59" s="66" t="s">
        <v>913</v>
      </c>
      <c r="G59" s="20" t="s">
        <v>889</v>
      </c>
      <c r="H59" s="20" t="s">
        <v>7</v>
      </c>
      <c r="I59" s="20" t="s">
        <v>1191</v>
      </c>
      <c r="J59" s="50" t="s">
        <v>199</v>
      </c>
      <c r="K59" s="50" t="s">
        <v>200</v>
      </c>
      <c r="L59" s="20" t="s">
        <v>13</v>
      </c>
      <c r="M59" s="20" t="s">
        <v>617</v>
      </c>
      <c r="N59" s="20" t="s">
        <v>1268</v>
      </c>
      <c r="O59" s="20" t="s">
        <v>1268</v>
      </c>
      <c r="P59" s="20"/>
      <c r="Q59" s="20"/>
      <c r="R59" s="20"/>
      <c r="S59" s="20"/>
      <c r="T59" s="20">
        <v>2011</v>
      </c>
      <c r="U59" s="20"/>
      <c r="V59" s="20"/>
      <c r="W59" s="20" t="s">
        <v>7</v>
      </c>
      <c r="X59" s="20" t="s">
        <v>886</v>
      </c>
      <c r="Y59" s="20"/>
      <c r="Z59" s="20"/>
      <c r="AA59" s="20"/>
      <c r="AB59" s="20" t="s">
        <v>887</v>
      </c>
      <c r="AC59" s="20">
        <v>286</v>
      </c>
      <c r="AD59" s="20"/>
      <c r="AE59" s="20"/>
      <c r="AF59" s="20"/>
      <c r="AG59" s="20" t="s">
        <v>885</v>
      </c>
      <c r="AH59" s="19">
        <f>11.99*1.2242</f>
        <v>14.678158</v>
      </c>
      <c r="AI59" s="20" t="s">
        <v>907</v>
      </c>
      <c r="AJ59" s="20"/>
      <c r="AK59" s="20"/>
      <c r="AL59" s="20"/>
      <c r="AM59" s="24"/>
      <c r="AN59" s="59"/>
      <c r="AO59" s="12"/>
      <c r="AP59" s="60"/>
    </row>
    <row r="60" spans="1:42" ht="31.2" x14ac:dyDescent="0.3">
      <c r="A60" s="23"/>
      <c r="B60" s="20" t="s">
        <v>128</v>
      </c>
      <c r="C60" s="20" t="s">
        <v>1214</v>
      </c>
      <c r="D60" s="20" t="s">
        <v>6</v>
      </c>
      <c r="E60" s="20" t="s">
        <v>81</v>
      </c>
      <c r="F60" s="66" t="s">
        <v>893</v>
      </c>
      <c r="G60" s="20" t="s">
        <v>911</v>
      </c>
      <c r="H60" s="20" t="s">
        <v>7</v>
      </c>
      <c r="I60" s="20" t="s">
        <v>1191</v>
      </c>
      <c r="J60" s="50" t="s">
        <v>199</v>
      </c>
      <c r="K60" s="50" t="s">
        <v>200</v>
      </c>
      <c r="L60" s="20" t="s">
        <v>13</v>
      </c>
      <c r="M60" s="20" t="s">
        <v>617</v>
      </c>
      <c r="N60" s="20" t="s">
        <v>1268</v>
      </c>
      <c r="O60" s="20" t="s">
        <v>1268</v>
      </c>
      <c r="P60" s="20"/>
      <c r="Q60" s="20"/>
      <c r="R60" s="20"/>
      <c r="S60" s="20"/>
      <c r="T60" s="20">
        <v>2006</v>
      </c>
      <c r="U60" s="20"/>
      <c r="V60" s="20"/>
      <c r="W60" s="20" t="s">
        <v>21</v>
      </c>
      <c r="X60" s="20" t="s">
        <v>11</v>
      </c>
      <c r="Y60" s="20"/>
      <c r="Z60" s="20"/>
      <c r="AA60" s="20"/>
      <c r="AB60" s="20" t="s">
        <v>891</v>
      </c>
      <c r="AC60" s="20">
        <v>437</v>
      </c>
      <c r="AD60" s="20"/>
      <c r="AE60" s="20"/>
      <c r="AF60" s="20"/>
      <c r="AG60" s="20" t="s">
        <v>890</v>
      </c>
      <c r="AH60" s="19">
        <v>11.5</v>
      </c>
      <c r="AI60" s="20"/>
      <c r="AJ60" s="20"/>
      <c r="AK60" s="20"/>
      <c r="AL60" s="20"/>
      <c r="AM60" s="24"/>
      <c r="AN60" s="59"/>
      <c r="AO60" s="12"/>
      <c r="AP60" s="60"/>
    </row>
    <row r="61" spans="1:42" ht="15.6" x14ac:dyDescent="0.3">
      <c r="A61" s="23"/>
      <c r="B61" s="20" t="s">
        <v>127</v>
      </c>
      <c r="C61" s="20" t="s">
        <v>899</v>
      </c>
      <c r="D61" s="20" t="s">
        <v>6</v>
      </c>
      <c r="E61" s="20" t="s">
        <v>81</v>
      </c>
      <c r="F61" s="66" t="s">
        <v>901</v>
      </c>
      <c r="G61" s="20" t="s">
        <v>900</v>
      </c>
      <c r="H61" s="20" t="s">
        <v>7</v>
      </c>
      <c r="I61" s="20" t="s">
        <v>1192</v>
      </c>
      <c r="J61" s="50" t="s">
        <v>898</v>
      </c>
      <c r="K61" s="50" t="s">
        <v>897</v>
      </c>
      <c r="L61" s="20" t="s">
        <v>149</v>
      </c>
      <c r="M61" s="20" t="s">
        <v>799</v>
      </c>
      <c r="N61" s="20" t="s">
        <v>1269</v>
      </c>
      <c r="O61" s="20" t="s">
        <v>1269</v>
      </c>
      <c r="P61" s="20"/>
      <c r="Q61" s="20"/>
      <c r="R61" s="20"/>
      <c r="S61" s="20"/>
      <c r="T61" s="20">
        <v>2015</v>
      </c>
      <c r="U61" s="20"/>
      <c r="V61" s="20"/>
      <c r="W61" s="20" t="s">
        <v>21</v>
      </c>
      <c r="X61" s="20" t="s">
        <v>11</v>
      </c>
      <c r="Y61" s="20"/>
      <c r="Z61" s="20"/>
      <c r="AA61" s="20"/>
      <c r="AB61" s="20" t="s">
        <v>896</v>
      </c>
      <c r="AC61" s="20">
        <v>363</v>
      </c>
      <c r="AD61" s="20"/>
      <c r="AE61" s="20"/>
      <c r="AF61" s="20"/>
      <c r="AG61" s="20" t="s">
        <v>633</v>
      </c>
      <c r="AH61" s="19">
        <v>16</v>
      </c>
      <c r="AI61" s="20"/>
      <c r="AJ61" s="20"/>
      <c r="AK61" s="20"/>
      <c r="AL61" s="20"/>
      <c r="AM61" s="24"/>
      <c r="AN61" s="59"/>
      <c r="AO61" s="12"/>
      <c r="AP61" s="60"/>
    </row>
    <row r="62" spans="1:42" ht="15.6" x14ac:dyDescent="0.3">
      <c r="A62" s="23"/>
      <c r="B62" s="20" t="s">
        <v>288</v>
      </c>
      <c r="C62" s="20" t="s">
        <v>805</v>
      </c>
      <c r="D62" s="20" t="s">
        <v>6</v>
      </c>
      <c r="E62" s="20" t="s">
        <v>76</v>
      </c>
      <c r="F62" s="66" t="s">
        <v>806</v>
      </c>
      <c r="G62" s="20" t="s">
        <v>804</v>
      </c>
      <c r="H62" s="20" t="s">
        <v>254</v>
      </c>
      <c r="I62" s="20" t="s">
        <v>287</v>
      </c>
      <c r="J62" s="50" t="s">
        <v>290</v>
      </c>
      <c r="K62" s="50" t="s">
        <v>291</v>
      </c>
      <c r="L62" s="20" t="s">
        <v>255</v>
      </c>
      <c r="M62" s="20" t="s">
        <v>617</v>
      </c>
      <c r="N62" s="20" t="s">
        <v>1268</v>
      </c>
      <c r="O62" s="20" t="s">
        <v>1268</v>
      </c>
      <c r="P62" s="20"/>
      <c r="Q62" s="20"/>
      <c r="R62" s="20"/>
      <c r="S62" s="20"/>
      <c r="T62" s="20">
        <v>2015</v>
      </c>
      <c r="U62" s="20"/>
      <c r="V62" s="20"/>
      <c r="W62" s="20" t="s">
        <v>21</v>
      </c>
      <c r="X62" s="20" t="s">
        <v>159</v>
      </c>
      <c r="Y62" s="20"/>
      <c r="Z62" s="20"/>
      <c r="AA62" s="20"/>
      <c r="AB62" s="20" t="s">
        <v>803</v>
      </c>
      <c r="AC62" s="20">
        <v>164</v>
      </c>
      <c r="AD62" s="20"/>
      <c r="AE62" s="20"/>
      <c r="AF62" s="20"/>
      <c r="AG62" s="20" t="s">
        <v>802</v>
      </c>
      <c r="AH62" s="19">
        <v>8.5</v>
      </c>
      <c r="AI62" s="20"/>
      <c r="AJ62" s="20"/>
      <c r="AK62" s="20"/>
      <c r="AL62" s="20"/>
      <c r="AM62" s="24"/>
      <c r="AN62" s="59"/>
      <c r="AO62" s="12"/>
      <c r="AP62" s="60"/>
    </row>
    <row r="63" spans="1:42" ht="15.6" x14ac:dyDescent="0.3">
      <c r="A63" s="23"/>
      <c r="B63" s="20" t="s">
        <v>321</v>
      </c>
      <c r="C63" s="20"/>
      <c r="D63" s="20" t="s">
        <v>6</v>
      </c>
      <c r="E63" s="20"/>
      <c r="F63" s="66"/>
      <c r="G63" s="20"/>
      <c r="H63" s="20" t="s">
        <v>126</v>
      </c>
      <c r="I63" s="20" t="s">
        <v>1193</v>
      </c>
      <c r="J63" s="50" t="s">
        <v>210</v>
      </c>
      <c r="K63" s="50" t="s">
        <v>211</v>
      </c>
      <c r="L63" s="20" t="s">
        <v>126</v>
      </c>
      <c r="M63" s="20"/>
      <c r="N63" s="20"/>
      <c r="O63" s="20"/>
      <c r="P63" s="20"/>
      <c r="Q63" s="20"/>
      <c r="R63" s="20"/>
      <c r="S63" s="20"/>
      <c r="T63" s="20">
        <v>2001</v>
      </c>
      <c r="U63" s="20"/>
      <c r="V63" s="20"/>
      <c r="W63" s="20" t="s">
        <v>21</v>
      </c>
      <c r="X63" s="20" t="s">
        <v>322</v>
      </c>
      <c r="Y63" s="20"/>
      <c r="Z63" s="20"/>
      <c r="AA63" s="20"/>
      <c r="AB63" s="20"/>
      <c r="AC63" s="20"/>
      <c r="AD63" s="20"/>
      <c r="AE63" s="20"/>
      <c r="AF63" s="20"/>
      <c r="AG63" s="20"/>
      <c r="AH63" s="19"/>
      <c r="AI63" s="20"/>
      <c r="AJ63" s="20"/>
      <c r="AK63" s="20"/>
      <c r="AL63" s="20"/>
      <c r="AM63" s="24"/>
      <c r="AN63" s="59"/>
      <c r="AO63" s="12"/>
      <c r="AP63" s="60"/>
    </row>
    <row r="64" spans="1:42" ht="15.6" x14ac:dyDescent="0.3">
      <c r="A64" s="23"/>
      <c r="B64" s="20" t="s">
        <v>401</v>
      </c>
      <c r="C64" s="20"/>
      <c r="D64" s="20" t="s">
        <v>6</v>
      </c>
      <c r="E64" s="20"/>
      <c r="F64" s="66"/>
      <c r="G64" s="20"/>
      <c r="H64" s="20" t="s">
        <v>126</v>
      </c>
      <c r="I64" s="20" t="s">
        <v>1193</v>
      </c>
      <c r="J64" s="50" t="s">
        <v>210</v>
      </c>
      <c r="K64" s="50" t="s">
        <v>211</v>
      </c>
      <c r="L64" s="20" t="s">
        <v>126</v>
      </c>
      <c r="M64" s="20"/>
      <c r="N64" s="20"/>
      <c r="O64" s="20"/>
      <c r="P64" s="20"/>
      <c r="Q64" s="20"/>
      <c r="R64" s="20"/>
      <c r="S64" s="20"/>
      <c r="T64" s="20">
        <v>2019</v>
      </c>
      <c r="U64" s="20"/>
      <c r="V64" s="20"/>
      <c r="W64" s="20" t="s">
        <v>21</v>
      </c>
      <c r="X64" s="20" t="s">
        <v>11</v>
      </c>
      <c r="Y64" s="20"/>
      <c r="Z64" s="20"/>
      <c r="AA64" s="20"/>
      <c r="AB64" s="20"/>
      <c r="AC64" s="20"/>
      <c r="AD64" s="20"/>
      <c r="AE64" s="20"/>
      <c r="AF64" s="20"/>
      <c r="AG64" s="20"/>
      <c r="AH64" s="19"/>
      <c r="AI64" s="20"/>
      <c r="AJ64" s="20"/>
      <c r="AK64" s="20"/>
      <c r="AL64" s="20"/>
      <c r="AM64" s="24"/>
      <c r="AN64" s="59"/>
      <c r="AO64" s="12"/>
      <c r="AP64" s="60"/>
    </row>
    <row r="65" spans="1:42" ht="15.6" x14ac:dyDescent="0.3">
      <c r="A65" s="23"/>
      <c r="B65" s="20" t="s">
        <v>186</v>
      </c>
      <c r="C65" s="20" t="s">
        <v>993</v>
      </c>
      <c r="D65" s="20" t="s">
        <v>6</v>
      </c>
      <c r="E65" s="20" t="s">
        <v>81</v>
      </c>
      <c r="F65" s="66" t="s">
        <v>994</v>
      </c>
      <c r="G65" s="20">
        <v>1872</v>
      </c>
      <c r="H65" s="20" t="s">
        <v>126</v>
      </c>
      <c r="I65" s="20" t="s">
        <v>1193</v>
      </c>
      <c r="J65" s="50" t="s">
        <v>210</v>
      </c>
      <c r="K65" s="50" t="s">
        <v>211</v>
      </c>
      <c r="L65" s="20" t="s">
        <v>126</v>
      </c>
      <c r="M65" s="20" t="s">
        <v>617</v>
      </c>
      <c r="N65" s="20" t="s">
        <v>1268</v>
      </c>
      <c r="O65" s="20" t="s">
        <v>1268</v>
      </c>
      <c r="P65" s="20"/>
      <c r="Q65" s="20"/>
      <c r="R65" s="20"/>
      <c r="S65" s="20"/>
      <c r="T65" s="20">
        <v>2020</v>
      </c>
      <c r="U65" s="20"/>
      <c r="V65" s="20"/>
      <c r="W65" s="20" t="s">
        <v>21</v>
      </c>
      <c r="X65" s="20" t="s">
        <v>187</v>
      </c>
      <c r="Y65" s="20"/>
      <c r="Z65" s="20"/>
      <c r="AA65" s="20"/>
      <c r="AB65" s="20" t="s">
        <v>992</v>
      </c>
      <c r="AC65" s="20">
        <v>318</v>
      </c>
      <c r="AD65" s="20"/>
      <c r="AE65" s="20"/>
      <c r="AF65" s="20"/>
      <c r="AG65" s="20" t="s">
        <v>991</v>
      </c>
      <c r="AH65" s="19">
        <v>8.9</v>
      </c>
      <c r="AI65" s="20"/>
      <c r="AJ65" s="20"/>
      <c r="AK65" s="20"/>
      <c r="AL65" s="20"/>
      <c r="AM65" s="24"/>
      <c r="AN65" s="59"/>
      <c r="AO65" s="12"/>
      <c r="AP65" s="60"/>
    </row>
    <row r="66" spans="1:42" ht="15.6" x14ac:dyDescent="0.3">
      <c r="A66" s="23"/>
      <c r="B66" s="20" t="s">
        <v>40</v>
      </c>
      <c r="C66" s="20"/>
      <c r="D66" s="20" t="s">
        <v>6</v>
      </c>
      <c r="E66" s="20"/>
      <c r="F66" s="66"/>
      <c r="G66" s="20"/>
      <c r="H66" s="20" t="s">
        <v>7</v>
      </c>
      <c r="I66" s="20" t="s">
        <v>42</v>
      </c>
      <c r="J66" s="50" t="s">
        <v>201</v>
      </c>
      <c r="K66" s="50">
        <v>16667</v>
      </c>
      <c r="L66" s="20" t="s">
        <v>13</v>
      </c>
      <c r="M66" s="20"/>
      <c r="N66" s="20"/>
      <c r="O66" s="20"/>
      <c r="P66" s="20"/>
      <c r="Q66" s="20"/>
      <c r="R66" s="20"/>
      <c r="S66" s="20"/>
      <c r="T66" s="20">
        <v>2015</v>
      </c>
      <c r="U66" s="20"/>
      <c r="V66" s="20"/>
      <c r="W66" s="20" t="s">
        <v>21</v>
      </c>
      <c r="X66" s="20" t="s">
        <v>41</v>
      </c>
      <c r="Y66" s="20"/>
      <c r="Z66" s="20"/>
      <c r="AA66" s="20"/>
      <c r="AB66" s="20"/>
      <c r="AC66" s="20"/>
      <c r="AD66" s="20"/>
      <c r="AE66" s="20"/>
      <c r="AF66" s="20"/>
      <c r="AG66" s="20"/>
      <c r="AH66" s="19"/>
      <c r="AI66" s="20"/>
      <c r="AJ66" s="20"/>
      <c r="AK66" s="20"/>
      <c r="AL66" s="20"/>
      <c r="AM66" s="24"/>
      <c r="AN66" s="59"/>
      <c r="AO66" s="12"/>
      <c r="AP66" s="60"/>
    </row>
    <row r="67" spans="1:42" ht="15.6" x14ac:dyDescent="0.3">
      <c r="A67" s="23"/>
      <c r="B67" s="20" t="s">
        <v>44</v>
      </c>
      <c r="C67" s="20"/>
      <c r="D67" s="20" t="s">
        <v>6</v>
      </c>
      <c r="E67" s="20"/>
      <c r="F67" s="66"/>
      <c r="G67" s="20"/>
      <c r="H67" s="20" t="s">
        <v>49</v>
      </c>
      <c r="I67" s="20" t="s">
        <v>45</v>
      </c>
      <c r="J67" s="50">
        <v>10909</v>
      </c>
      <c r="K67" s="50">
        <v>34939</v>
      </c>
      <c r="L67" s="20" t="s">
        <v>46</v>
      </c>
      <c r="M67" s="20"/>
      <c r="N67" s="20"/>
      <c r="O67" s="20"/>
      <c r="P67" s="20"/>
      <c r="Q67" s="20"/>
      <c r="R67" s="20"/>
      <c r="S67" s="20"/>
      <c r="T67" s="20">
        <v>2009</v>
      </c>
      <c r="U67" s="20"/>
      <c r="V67" s="20"/>
      <c r="W67" s="20" t="s">
        <v>21</v>
      </c>
      <c r="X67" s="20" t="s">
        <v>47</v>
      </c>
      <c r="Y67" s="20"/>
      <c r="Z67" s="20"/>
      <c r="AA67" s="20"/>
      <c r="AB67" s="20"/>
      <c r="AC67" s="20"/>
      <c r="AD67" s="20"/>
      <c r="AE67" s="20"/>
      <c r="AF67" s="20"/>
      <c r="AG67" s="20"/>
      <c r="AH67" s="19"/>
      <c r="AI67" s="20"/>
      <c r="AJ67" s="20"/>
      <c r="AK67" s="20"/>
      <c r="AL67" s="20"/>
      <c r="AM67" s="24"/>
      <c r="AN67" s="59"/>
      <c r="AO67" s="12"/>
      <c r="AP67" s="60"/>
    </row>
    <row r="68" spans="1:42" ht="31.2" x14ac:dyDescent="0.3">
      <c r="A68" s="23"/>
      <c r="B68" s="20" t="s">
        <v>1014</v>
      </c>
      <c r="C68" s="20" t="s">
        <v>1020</v>
      </c>
      <c r="D68" s="20" t="s">
        <v>6</v>
      </c>
      <c r="E68" s="20" t="s">
        <v>78</v>
      </c>
      <c r="F68" s="66" t="s">
        <v>1021</v>
      </c>
      <c r="G68" s="20" t="s">
        <v>1041</v>
      </c>
      <c r="H68" s="20" t="s">
        <v>427</v>
      </c>
      <c r="I68" s="20" t="s">
        <v>1017</v>
      </c>
      <c r="J68" s="50" t="s">
        <v>1018</v>
      </c>
      <c r="K68" s="50" t="s">
        <v>1019</v>
      </c>
      <c r="L68" s="20" t="s">
        <v>1016</v>
      </c>
      <c r="M68" s="20" t="s">
        <v>799</v>
      </c>
      <c r="N68" s="20" t="s">
        <v>1269</v>
      </c>
      <c r="O68" s="20" t="s">
        <v>1269</v>
      </c>
      <c r="P68" s="20"/>
      <c r="Q68" s="20"/>
      <c r="R68" s="20"/>
      <c r="S68" s="20"/>
      <c r="T68" s="20">
        <v>2008</v>
      </c>
      <c r="U68" s="20"/>
      <c r="V68" s="20"/>
      <c r="W68" s="20" t="s">
        <v>21</v>
      </c>
      <c r="X68" s="20" t="s">
        <v>11</v>
      </c>
      <c r="Y68" s="20"/>
      <c r="Z68" s="20"/>
      <c r="AA68" s="20"/>
      <c r="AB68" s="20" t="s">
        <v>1015</v>
      </c>
      <c r="AC68" s="20">
        <v>1618</v>
      </c>
      <c r="AD68" s="20"/>
      <c r="AE68" s="20"/>
      <c r="AF68" s="20"/>
      <c r="AG68" s="20" t="s">
        <v>633</v>
      </c>
      <c r="AH68" s="19">
        <v>16</v>
      </c>
      <c r="AI68" s="20"/>
      <c r="AJ68" s="20"/>
      <c r="AK68" s="20"/>
      <c r="AL68" s="20"/>
      <c r="AM68" s="24"/>
      <c r="AN68" s="59"/>
      <c r="AO68" s="12"/>
      <c r="AP68" s="60"/>
    </row>
    <row r="69" spans="1:42" ht="15.6" x14ac:dyDescent="0.3">
      <c r="A69" s="23"/>
      <c r="B69" s="20" t="s">
        <v>959</v>
      </c>
      <c r="C69" s="20" t="s">
        <v>961</v>
      </c>
      <c r="D69" s="20" t="s">
        <v>6</v>
      </c>
      <c r="E69" s="20" t="s">
        <v>605</v>
      </c>
      <c r="F69" s="66" t="s">
        <v>966</v>
      </c>
      <c r="G69" s="20" t="s">
        <v>965</v>
      </c>
      <c r="H69" s="20" t="s">
        <v>427</v>
      </c>
      <c r="I69" s="20" t="s">
        <v>962</v>
      </c>
      <c r="J69" s="50" t="s">
        <v>964</v>
      </c>
      <c r="K69" s="50" t="s">
        <v>963</v>
      </c>
      <c r="L69" s="20" t="s">
        <v>426</v>
      </c>
      <c r="M69" s="20" t="s">
        <v>617</v>
      </c>
      <c r="N69" s="20" t="s">
        <v>1268</v>
      </c>
      <c r="O69" s="20" t="s">
        <v>1268</v>
      </c>
      <c r="P69" s="20"/>
      <c r="Q69" s="20"/>
      <c r="R69" s="20"/>
      <c r="S69" s="20"/>
      <c r="T69" s="20">
        <v>2016</v>
      </c>
      <c r="U69" s="20"/>
      <c r="V69" s="20"/>
      <c r="W69" s="20" t="s">
        <v>21</v>
      </c>
      <c r="X69" s="20" t="s">
        <v>11</v>
      </c>
      <c r="Y69" s="20"/>
      <c r="Z69" s="20"/>
      <c r="AA69" s="20"/>
      <c r="AB69" s="20" t="s">
        <v>960</v>
      </c>
      <c r="AC69" s="20">
        <v>254</v>
      </c>
      <c r="AD69" s="20"/>
      <c r="AE69" s="20"/>
      <c r="AF69" s="20"/>
      <c r="AG69" s="20" t="s">
        <v>629</v>
      </c>
      <c r="AH69" s="19">
        <v>17</v>
      </c>
      <c r="AI69" s="20"/>
      <c r="AJ69" s="20"/>
      <c r="AK69" s="20"/>
      <c r="AL69" s="20"/>
      <c r="AM69" s="24"/>
      <c r="AN69" s="59"/>
      <c r="AO69" s="12"/>
      <c r="AP69" s="60"/>
    </row>
    <row r="70" spans="1:42" ht="31.2" x14ac:dyDescent="0.3">
      <c r="A70" s="11"/>
      <c r="B70" s="12" t="s">
        <v>1403</v>
      </c>
      <c r="C70" s="12" t="s">
        <v>1408</v>
      </c>
      <c r="D70" s="12" t="s">
        <v>82</v>
      </c>
      <c r="E70" s="12" t="s">
        <v>84</v>
      </c>
      <c r="F70" s="65" t="s">
        <v>1413</v>
      </c>
      <c r="G70" s="12">
        <v>2022</v>
      </c>
      <c r="H70" s="12" t="s">
        <v>7</v>
      </c>
      <c r="I70" s="12" t="s">
        <v>1409</v>
      </c>
      <c r="J70" s="49" t="s">
        <v>1410</v>
      </c>
      <c r="K70" s="49" t="s">
        <v>219</v>
      </c>
      <c r="L70" s="12" t="s">
        <v>1386</v>
      </c>
      <c r="M70" s="12" t="s">
        <v>1411</v>
      </c>
      <c r="N70" s="12" t="s">
        <v>1387</v>
      </c>
      <c r="O70" s="12" t="s">
        <v>1387</v>
      </c>
      <c r="P70" s="12" t="s">
        <v>1407</v>
      </c>
      <c r="Q70" s="12"/>
      <c r="R70" s="12" t="s">
        <v>1406</v>
      </c>
      <c r="S70" s="12" t="s">
        <v>1412</v>
      </c>
      <c r="T70" s="12">
        <v>2022</v>
      </c>
      <c r="U70" s="12">
        <v>2022</v>
      </c>
      <c r="V70" s="12"/>
      <c r="W70" s="12" t="s">
        <v>21</v>
      </c>
      <c r="X70" s="12" t="s">
        <v>1399</v>
      </c>
      <c r="Y70" s="12" t="s">
        <v>1259</v>
      </c>
      <c r="Z70" s="12"/>
      <c r="AA70" s="12"/>
      <c r="AB70" s="12" t="s">
        <v>1405</v>
      </c>
      <c r="AC70" s="12">
        <v>514</v>
      </c>
      <c r="AD70" s="12"/>
      <c r="AE70" s="12" t="s">
        <v>1090</v>
      </c>
      <c r="AF70" s="12" t="s">
        <v>1178</v>
      </c>
      <c r="AG70" s="12" t="s">
        <v>1404</v>
      </c>
      <c r="AH70" s="13">
        <v>19.899999999999999</v>
      </c>
      <c r="AI70" s="12"/>
      <c r="AJ70" s="12"/>
      <c r="AK70" s="12"/>
      <c r="AL70" s="12" t="s">
        <v>1229</v>
      </c>
      <c r="AM70" s="14"/>
      <c r="AN70" s="59"/>
      <c r="AO70" s="12"/>
      <c r="AP70" s="60"/>
    </row>
    <row r="71" spans="1:42" ht="15.6" x14ac:dyDescent="0.3">
      <c r="A71" s="23"/>
      <c r="B71" s="20" t="s">
        <v>344</v>
      </c>
      <c r="C71" s="20"/>
      <c r="D71" s="20" t="s">
        <v>6</v>
      </c>
      <c r="E71" s="20"/>
      <c r="F71" s="66"/>
      <c r="G71" s="20"/>
      <c r="H71" s="20" t="s">
        <v>21</v>
      </c>
      <c r="I71" s="20" t="s">
        <v>1425</v>
      </c>
      <c r="J71" s="50" t="s">
        <v>342</v>
      </c>
      <c r="K71" s="50" t="s">
        <v>204</v>
      </c>
      <c r="L71" s="20" t="s">
        <v>22</v>
      </c>
      <c r="M71" s="20"/>
      <c r="N71" s="20"/>
      <c r="O71" s="20"/>
      <c r="P71" s="20"/>
      <c r="Q71" s="20"/>
      <c r="R71" s="20"/>
      <c r="S71" s="20"/>
      <c r="T71" s="20">
        <v>2011</v>
      </c>
      <c r="U71" s="20"/>
      <c r="V71" s="20"/>
      <c r="W71" s="20" t="s">
        <v>21</v>
      </c>
      <c r="X71" s="20" t="s">
        <v>343</v>
      </c>
      <c r="Y71" s="20"/>
      <c r="Z71" s="20"/>
      <c r="AA71" s="20"/>
      <c r="AB71" s="20"/>
      <c r="AC71" s="20"/>
      <c r="AD71" s="20" t="s">
        <v>1426</v>
      </c>
      <c r="AE71" s="20"/>
      <c r="AF71" s="20"/>
      <c r="AG71" s="20"/>
      <c r="AH71" s="19"/>
      <c r="AI71" s="20"/>
      <c r="AJ71" s="20"/>
      <c r="AK71" s="20"/>
      <c r="AL71" s="20"/>
      <c r="AM71" s="24"/>
      <c r="AN71" s="59"/>
      <c r="AO71" s="12"/>
      <c r="AP71" s="60"/>
    </row>
    <row r="72" spans="1:42" ht="15.6" x14ac:dyDescent="0.3">
      <c r="A72" s="23"/>
      <c r="B72" s="20" t="s">
        <v>345</v>
      </c>
      <c r="C72" s="20"/>
      <c r="D72" s="20" t="s">
        <v>6</v>
      </c>
      <c r="E72" s="20"/>
      <c r="F72" s="66"/>
      <c r="G72" s="20"/>
      <c r="H72" s="20" t="s">
        <v>21</v>
      </c>
      <c r="I72" s="20" t="s">
        <v>1425</v>
      </c>
      <c r="J72" s="50" t="s">
        <v>342</v>
      </c>
      <c r="K72" s="50" t="s">
        <v>204</v>
      </c>
      <c r="L72" s="20" t="s">
        <v>22</v>
      </c>
      <c r="M72" s="20"/>
      <c r="N72" s="20"/>
      <c r="O72" s="20"/>
      <c r="P72" s="20"/>
      <c r="Q72" s="20"/>
      <c r="R72" s="20"/>
      <c r="S72" s="20"/>
      <c r="T72" s="20">
        <v>2012</v>
      </c>
      <c r="U72" s="20"/>
      <c r="V72" s="20"/>
      <c r="W72" s="20" t="s">
        <v>21</v>
      </c>
      <c r="X72" s="20" t="s">
        <v>343</v>
      </c>
      <c r="Y72" s="20"/>
      <c r="Z72" s="20"/>
      <c r="AA72" s="20"/>
      <c r="AB72" s="20"/>
      <c r="AC72" s="20"/>
      <c r="AD72" s="20" t="s">
        <v>1427</v>
      </c>
      <c r="AE72" s="20"/>
      <c r="AF72" s="20"/>
      <c r="AG72" s="20"/>
      <c r="AH72" s="19"/>
      <c r="AI72" s="20"/>
      <c r="AJ72" s="20"/>
      <c r="AK72" s="20"/>
      <c r="AL72" s="20"/>
      <c r="AM72" s="24"/>
      <c r="AN72" s="59"/>
      <c r="AO72" s="12"/>
      <c r="AP72" s="60"/>
    </row>
    <row r="73" spans="1:42" ht="15.6" x14ac:dyDescent="0.3">
      <c r="A73" s="23"/>
      <c r="B73" s="20" t="s">
        <v>346</v>
      </c>
      <c r="C73" s="20"/>
      <c r="D73" s="20" t="s">
        <v>6</v>
      </c>
      <c r="E73" s="20"/>
      <c r="F73" s="66"/>
      <c r="G73" s="20"/>
      <c r="H73" s="20" t="s">
        <v>21</v>
      </c>
      <c r="I73" s="20" t="s">
        <v>1425</v>
      </c>
      <c r="J73" s="50" t="s">
        <v>342</v>
      </c>
      <c r="K73" s="50" t="s">
        <v>204</v>
      </c>
      <c r="L73" s="20" t="s">
        <v>22</v>
      </c>
      <c r="M73" s="20"/>
      <c r="N73" s="20"/>
      <c r="O73" s="20"/>
      <c r="P73" s="20"/>
      <c r="Q73" s="20"/>
      <c r="R73" s="20"/>
      <c r="S73" s="20"/>
      <c r="T73" s="20">
        <v>2013</v>
      </c>
      <c r="U73" s="20"/>
      <c r="V73" s="20"/>
      <c r="W73" s="20" t="s">
        <v>21</v>
      </c>
      <c r="X73" s="20" t="s">
        <v>343</v>
      </c>
      <c r="Y73" s="20"/>
      <c r="Z73" s="20"/>
      <c r="AA73" s="20"/>
      <c r="AB73" s="20"/>
      <c r="AC73" s="20"/>
      <c r="AD73" s="20" t="s">
        <v>1429</v>
      </c>
      <c r="AE73" s="20"/>
      <c r="AF73" s="20"/>
      <c r="AG73" s="20"/>
      <c r="AH73" s="19"/>
      <c r="AI73" s="20"/>
      <c r="AJ73" s="20"/>
      <c r="AK73" s="20"/>
      <c r="AL73" s="20"/>
      <c r="AM73" s="24"/>
      <c r="AN73" s="59"/>
      <c r="AO73" s="12"/>
      <c r="AP73" s="60"/>
    </row>
    <row r="74" spans="1:42" ht="15.6" x14ac:dyDescent="0.3">
      <c r="A74" s="23"/>
      <c r="B74" s="20" t="s">
        <v>347</v>
      </c>
      <c r="C74" s="20"/>
      <c r="D74" s="20" t="s">
        <v>6</v>
      </c>
      <c r="E74" s="20"/>
      <c r="F74" s="66"/>
      <c r="G74" s="20"/>
      <c r="H74" s="20" t="s">
        <v>21</v>
      </c>
      <c r="I74" s="20" t="s">
        <v>1425</v>
      </c>
      <c r="J74" s="50" t="s">
        <v>342</v>
      </c>
      <c r="K74" s="50" t="s">
        <v>204</v>
      </c>
      <c r="L74" s="20" t="s">
        <v>22</v>
      </c>
      <c r="M74" s="20"/>
      <c r="N74" s="20"/>
      <c r="O74" s="20"/>
      <c r="P74" s="20"/>
      <c r="Q74" s="20"/>
      <c r="R74" s="20"/>
      <c r="S74" s="20"/>
      <c r="T74" s="20">
        <v>2014</v>
      </c>
      <c r="U74" s="20"/>
      <c r="V74" s="20"/>
      <c r="W74" s="20" t="s">
        <v>21</v>
      </c>
      <c r="X74" s="20" t="s">
        <v>343</v>
      </c>
      <c r="Y74" s="20"/>
      <c r="Z74" s="20"/>
      <c r="AA74" s="20"/>
      <c r="AB74" s="20"/>
      <c r="AC74" s="20"/>
      <c r="AD74" s="20" t="s">
        <v>1428</v>
      </c>
      <c r="AE74" s="20"/>
      <c r="AF74" s="20"/>
      <c r="AG74" s="20"/>
      <c r="AH74" s="19"/>
      <c r="AI74" s="20"/>
      <c r="AJ74" s="20"/>
      <c r="AK74" s="20"/>
      <c r="AL74" s="20"/>
      <c r="AM74" s="24"/>
      <c r="AN74" s="59"/>
      <c r="AO74" s="12"/>
      <c r="AP74" s="60"/>
    </row>
    <row r="75" spans="1:42" ht="15.6" x14ac:dyDescent="0.3">
      <c r="A75" s="23"/>
      <c r="B75" s="20" t="s">
        <v>310</v>
      </c>
      <c r="C75" s="20"/>
      <c r="D75" s="20" t="s">
        <v>6</v>
      </c>
      <c r="E75" s="20"/>
      <c r="F75" s="66"/>
      <c r="G75" s="20"/>
      <c r="H75" s="20" t="s">
        <v>7</v>
      </c>
      <c r="I75" s="20" t="s">
        <v>311</v>
      </c>
      <c r="J75" s="50" t="s">
        <v>312</v>
      </c>
      <c r="K75" s="50">
        <v>14966</v>
      </c>
      <c r="L75" s="20" t="s">
        <v>14</v>
      </c>
      <c r="M75" s="20"/>
      <c r="N75" s="20"/>
      <c r="O75" s="20"/>
      <c r="P75" s="20"/>
      <c r="Q75" s="20"/>
      <c r="R75" s="20"/>
      <c r="S75" s="20"/>
      <c r="T75" s="20">
        <v>2011</v>
      </c>
      <c r="U75" s="20"/>
      <c r="V75" s="20"/>
      <c r="W75" s="20" t="s">
        <v>21</v>
      </c>
      <c r="X75" s="20" t="s">
        <v>159</v>
      </c>
      <c r="Y75" s="20"/>
      <c r="Z75" s="20"/>
      <c r="AA75" s="20"/>
      <c r="AB75" s="20"/>
      <c r="AC75" s="20"/>
      <c r="AD75" s="20"/>
      <c r="AE75" s="20"/>
      <c r="AF75" s="20"/>
      <c r="AG75" s="20"/>
      <c r="AH75" s="19"/>
      <c r="AI75" s="20"/>
      <c r="AJ75" s="20"/>
      <c r="AK75" s="20"/>
      <c r="AL75" s="20"/>
      <c r="AM75" s="24"/>
      <c r="AN75" s="59"/>
      <c r="AO75" s="12"/>
      <c r="AP75" s="60"/>
    </row>
    <row r="76" spans="1:42" ht="15.6" x14ac:dyDescent="0.3">
      <c r="A76" s="23"/>
      <c r="B76" s="20" t="s">
        <v>408</v>
      </c>
      <c r="C76" s="20"/>
      <c r="D76" s="20" t="s">
        <v>6</v>
      </c>
      <c r="E76" s="20"/>
      <c r="F76" s="66"/>
      <c r="G76" s="20"/>
      <c r="H76" s="20" t="s">
        <v>126</v>
      </c>
      <c r="I76" s="20" t="s">
        <v>409</v>
      </c>
      <c r="J76" s="50" t="s">
        <v>410</v>
      </c>
      <c r="K76" s="50" t="s">
        <v>411</v>
      </c>
      <c r="L76" s="20" t="s">
        <v>126</v>
      </c>
      <c r="M76" s="20"/>
      <c r="N76" s="20"/>
      <c r="O76" s="20"/>
      <c r="P76" s="20"/>
      <c r="Q76" s="20"/>
      <c r="R76" s="20"/>
      <c r="S76" s="20"/>
      <c r="T76" s="20">
        <v>2014</v>
      </c>
      <c r="U76" s="20"/>
      <c r="V76" s="20"/>
      <c r="W76" s="20" t="s">
        <v>21</v>
      </c>
      <c r="X76" s="20" t="s">
        <v>15</v>
      </c>
      <c r="Y76" s="20"/>
      <c r="Z76" s="20"/>
      <c r="AA76" s="20"/>
      <c r="AB76" s="20"/>
      <c r="AC76" s="20"/>
      <c r="AD76" s="20"/>
      <c r="AE76" s="20"/>
      <c r="AF76" s="20"/>
      <c r="AG76" s="20"/>
      <c r="AH76" s="19"/>
      <c r="AI76" s="20"/>
      <c r="AJ76" s="20"/>
      <c r="AK76" s="20"/>
      <c r="AL76" s="20"/>
      <c r="AM76" s="24"/>
      <c r="AN76" s="59"/>
      <c r="AO76" s="12"/>
      <c r="AP76" s="60"/>
    </row>
    <row r="77" spans="1:42" ht="31.2" x14ac:dyDescent="0.3">
      <c r="A77" s="11"/>
      <c r="B77" s="12" t="s">
        <v>1355</v>
      </c>
      <c r="C77" s="12" t="s">
        <v>1355</v>
      </c>
      <c r="D77" s="12" t="s">
        <v>82</v>
      </c>
      <c r="E77" s="12" t="s">
        <v>84</v>
      </c>
      <c r="F77" s="65" t="s">
        <v>1365</v>
      </c>
      <c r="G77" s="12">
        <v>2011</v>
      </c>
      <c r="H77" s="12" t="s">
        <v>21</v>
      </c>
      <c r="I77" s="12" t="s">
        <v>1363</v>
      </c>
      <c r="J77" s="49" t="s">
        <v>1364</v>
      </c>
      <c r="K77" s="49" t="s">
        <v>205</v>
      </c>
      <c r="L77" s="12" t="s">
        <v>1362</v>
      </c>
      <c r="M77" s="12" t="s">
        <v>1361</v>
      </c>
      <c r="N77" s="12" t="s">
        <v>1269</v>
      </c>
      <c r="O77" s="12" t="s">
        <v>1269</v>
      </c>
      <c r="P77" s="12"/>
      <c r="Q77" s="12"/>
      <c r="R77" s="12"/>
      <c r="S77" s="12"/>
      <c r="T77" s="12">
        <v>2011</v>
      </c>
      <c r="U77" s="12">
        <v>2017</v>
      </c>
      <c r="V77" s="12" t="s">
        <v>1360</v>
      </c>
      <c r="W77" s="12" t="s">
        <v>21</v>
      </c>
      <c r="X77" s="12" t="s">
        <v>1357</v>
      </c>
      <c r="Y77" s="12" t="s">
        <v>1300</v>
      </c>
      <c r="Z77" s="12" t="s">
        <v>1358</v>
      </c>
      <c r="AA77" s="12">
        <v>655</v>
      </c>
      <c r="AB77" s="12" t="s">
        <v>1359</v>
      </c>
      <c r="AC77" s="12">
        <v>414</v>
      </c>
      <c r="AD77" s="12"/>
      <c r="AE77" s="12" t="s">
        <v>1090</v>
      </c>
      <c r="AF77" s="12" t="s">
        <v>1178</v>
      </c>
      <c r="AG77" s="12" t="s">
        <v>1356</v>
      </c>
      <c r="AH77" s="13">
        <v>41</v>
      </c>
      <c r="AI77" s="12"/>
      <c r="AJ77" s="12"/>
      <c r="AK77" s="12"/>
      <c r="AL77" s="12" t="s">
        <v>1229</v>
      </c>
      <c r="AM77" s="14"/>
      <c r="AN77" s="59"/>
      <c r="AO77" s="12"/>
      <c r="AP77" s="60"/>
    </row>
    <row r="78" spans="1:42" ht="15.6" x14ac:dyDescent="0.3">
      <c r="A78" s="23"/>
      <c r="B78" s="20" t="s">
        <v>155</v>
      </c>
      <c r="C78" s="20"/>
      <c r="D78" s="20" t="s">
        <v>6</v>
      </c>
      <c r="E78" s="20"/>
      <c r="F78" s="66"/>
      <c r="G78" s="20"/>
      <c r="H78" s="20" t="s">
        <v>21</v>
      </c>
      <c r="I78" s="20" t="s">
        <v>156</v>
      </c>
      <c r="J78" s="50" t="s">
        <v>202</v>
      </c>
      <c r="K78" s="50">
        <v>42695</v>
      </c>
      <c r="L78" s="20" t="s">
        <v>22</v>
      </c>
      <c r="M78" s="20"/>
      <c r="N78" s="20"/>
      <c r="O78" s="20"/>
      <c r="P78" s="20"/>
      <c r="Q78" s="20"/>
      <c r="R78" s="20"/>
      <c r="S78" s="20"/>
      <c r="T78" s="20">
        <v>2005</v>
      </c>
      <c r="U78" s="20"/>
      <c r="V78" s="20"/>
      <c r="W78" s="20" t="s">
        <v>21</v>
      </c>
      <c r="X78" s="20" t="s">
        <v>157</v>
      </c>
      <c r="Y78" s="20"/>
      <c r="Z78" s="20"/>
      <c r="AA78" s="20"/>
      <c r="AB78" s="20"/>
      <c r="AC78" s="20"/>
      <c r="AD78" s="20"/>
      <c r="AE78" s="20"/>
      <c r="AF78" s="20"/>
      <c r="AG78" s="20"/>
      <c r="AH78" s="19"/>
      <c r="AI78" s="20"/>
      <c r="AJ78" s="20"/>
      <c r="AK78" s="20"/>
      <c r="AL78" s="20"/>
      <c r="AM78" s="24"/>
      <c r="AN78" s="59"/>
      <c r="AO78" s="12"/>
      <c r="AP78" s="60"/>
    </row>
    <row r="79" spans="1:42" ht="15.6" x14ac:dyDescent="0.3">
      <c r="A79" s="23"/>
      <c r="B79" s="20" t="s">
        <v>50</v>
      </c>
      <c r="C79" s="20"/>
      <c r="D79" s="20" t="s">
        <v>6</v>
      </c>
      <c r="E79" s="20"/>
      <c r="F79" s="66"/>
      <c r="G79" s="20"/>
      <c r="H79" s="20" t="s">
        <v>21</v>
      </c>
      <c r="I79" s="20" t="s">
        <v>51</v>
      </c>
      <c r="J79" s="50" t="s">
        <v>202</v>
      </c>
      <c r="K79" s="50" t="s">
        <v>204</v>
      </c>
      <c r="L79" s="20" t="s">
        <v>22</v>
      </c>
      <c r="M79" s="20"/>
      <c r="N79" s="20"/>
      <c r="O79" s="20"/>
      <c r="P79" s="20"/>
      <c r="Q79" s="20"/>
      <c r="R79" s="20"/>
      <c r="S79" s="20"/>
      <c r="T79" s="20">
        <v>2015</v>
      </c>
      <c r="U79" s="20"/>
      <c r="V79" s="20"/>
      <c r="W79" s="20" t="s">
        <v>21</v>
      </c>
      <c r="X79" s="20" t="s">
        <v>48</v>
      </c>
      <c r="Y79" s="20"/>
      <c r="Z79" s="20"/>
      <c r="AA79" s="20"/>
      <c r="AB79" s="20"/>
      <c r="AC79" s="20"/>
      <c r="AD79" s="20"/>
      <c r="AE79" s="20"/>
      <c r="AF79" s="20"/>
      <c r="AG79" s="20"/>
      <c r="AH79" s="19"/>
      <c r="AI79" s="20"/>
      <c r="AJ79" s="20"/>
      <c r="AK79" s="20"/>
      <c r="AL79" s="20"/>
      <c r="AM79" s="24"/>
      <c r="AN79" s="59"/>
      <c r="AO79" s="12"/>
      <c r="AP79" s="60"/>
    </row>
    <row r="80" spans="1:42" ht="15.6" x14ac:dyDescent="0.3">
      <c r="A80" s="23"/>
      <c r="B80" s="20" t="s">
        <v>870</v>
      </c>
      <c r="C80" s="20" t="s">
        <v>870</v>
      </c>
      <c r="D80" s="20" t="s">
        <v>6</v>
      </c>
      <c r="E80" s="20" t="s">
        <v>81</v>
      </c>
      <c r="F80" s="66" t="s">
        <v>873</v>
      </c>
      <c r="G80" s="20">
        <v>1963</v>
      </c>
      <c r="H80" s="20" t="s">
        <v>21</v>
      </c>
      <c r="I80" s="20" t="s">
        <v>872</v>
      </c>
      <c r="J80" s="50">
        <v>6040</v>
      </c>
      <c r="K80" s="50">
        <v>33519</v>
      </c>
      <c r="L80" s="20" t="s">
        <v>22</v>
      </c>
      <c r="M80" s="20" t="s">
        <v>645</v>
      </c>
      <c r="N80" s="20" t="s">
        <v>1268</v>
      </c>
      <c r="O80" s="20" t="s">
        <v>1268</v>
      </c>
      <c r="P80" s="20"/>
      <c r="Q80" s="20"/>
      <c r="R80" s="20"/>
      <c r="S80" s="20"/>
      <c r="T80" s="20">
        <v>1992</v>
      </c>
      <c r="U80" s="20"/>
      <c r="V80" s="20"/>
      <c r="W80" s="20" t="s">
        <v>21</v>
      </c>
      <c r="X80" s="20" t="s">
        <v>871</v>
      </c>
      <c r="Y80" s="20"/>
      <c r="Z80" s="20"/>
      <c r="AA80" s="20"/>
      <c r="AB80" s="20"/>
      <c r="AC80" s="20">
        <v>218</v>
      </c>
      <c r="AD80" s="20"/>
      <c r="AE80" s="20"/>
      <c r="AF80" s="20"/>
      <c r="AG80" s="20"/>
      <c r="AH80" s="19"/>
      <c r="AI80" s="20"/>
      <c r="AJ80" s="20"/>
      <c r="AK80" s="20"/>
      <c r="AL80" s="20"/>
      <c r="AM80" s="24"/>
      <c r="AN80" s="59"/>
      <c r="AO80" s="12"/>
      <c r="AP80" s="60"/>
    </row>
    <row r="81" spans="1:42" ht="15.6" x14ac:dyDescent="0.3">
      <c r="A81" s="23"/>
      <c r="B81" s="20" t="s">
        <v>245</v>
      </c>
      <c r="C81" s="20"/>
      <c r="D81" s="20" t="s">
        <v>6</v>
      </c>
      <c r="E81" s="20"/>
      <c r="F81" s="66"/>
      <c r="G81" s="20"/>
      <c r="H81" s="20" t="s">
        <v>7</v>
      </c>
      <c r="I81" s="20" t="s">
        <v>244</v>
      </c>
      <c r="J81" s="50">
        <v>4280</v>
      </c>
      <c r="K81" s="50">
        <v>34139</v>
      </c>
      <c r="L81" s="20" t="s">
        <v>226</v>
      </c>
      <c r="M81" s="20"/>
      <c r="N81" s="20"/>
      <c r="O81" s="20"/>
      <c r="P81" s="20"/>
      <c r="Q81" s="20"/>
      <c r="R81" s="20"/>
      <c r="S81" s="20"/>
      <c r="T81" s="20">
        <v>2016</v>
      </c>
      <c r="U81" s="20"/>
      <c r="V81" s="20"/>
      <c r="W81" s="20" t="s">
        <v>21</v>
      </c>
      <c r="X81" s="20" t="s">
        <v>8</v>
      </c>
      <c r="Y81" s="20"/>
      <c r="Z81" s="20"/>
      <c r="AA81" s="20"/>
      <c r="AB81" s="20"/>
      <c r="AC81" s="20"/>
      <c r="AD81" s="20"/>
      <c r="AE81" s="20"/>
      <c r="AF81" s="20"/>
      <c r="AG81" s="20"/>
      <c r="AH81" s="19"/>
      <c r="AI81" s="20"/>
      <c r="AJ81" s="20"/>
      <c r="AK81" s="20"/>
      <c r="AL81" s="20"/>
      <c r="AM81" s="24"/>
      <c r="AN81" s="59"/>
      <c r="AO81" s="12"/>
      <c r="AP81" s="60"/>
    </row>
    <row r="82" spans="1:42" ht="15.6" x14ac:dyDescent="0.3">
      <c r="A82" s="23"/>
      <c r="B82" s="20" t="s">
        <v>845</v>
      </c>
      <c r="C82" s="20" t="s">
        <v>846</v>
      </c>
      <c r="D82" s="20" t="s">
        <v>106</v>
      </c>
      <c r="E82" s="20" t="s">
        <v>109</v>
      </c>
      <c r="F82" s="66" t="s">
        <v>848</v>
      </c>
      <c r="G82" s="20" t="s">
        <v>847</v>
      </c>
      <c r="H82" s="20" t="s">
        <v>844</v>
      </c>
      <c r="I82" s="20" t="s">
        <v>840</v>
      </c>
      <c r="J82" s="50" t="s">
        <v>841</v>
      </c>
      <c r="K82" s="50" t="s">
        <v>842</v>
      </c>
      <c r="L82" s="20" t="s">
        <v>22</v>
      </c>
      <c r="M82" s="20" t="s">
        <v>617</v>
      </c>
      <c r="N82" s="20" t="s">
        <v>1268</v>
      </c>
      <c r="O82" s="20" t="s">
        <v>1268</v>
      </c>
      <c r="P82" s="20"/>
      <c r="Q82" s="20"/>
      <c r="R82" s="20"/>
      <c r="S82" s="20"/>
      <c r="T82" s="20">
        <v>1993</v>
      </c>
      <c r="U82" s="20"/>
      <c r="V82" s="20"/>
      <c r="W82" s="20" t="s">
        <v>843</v>
      </c>
      <c r="X82" s="20" t="s">
        <v>159</v>
      </c>
      <c r="Y82" s="20"/>
      <c r="Z82" s="20"/>
      <c r="AA82" s="20"/>
      <c r="AB82" s="20" t="s">
        <v>838</v>
      </c>
      <c r="AC82" s="20">
        <v>301</v>
      </c>
      <c r="AD82" s="20"/>
      <c r="AE82" s="20"/>
      <c r="AF82" s="20"/>
      <c r="AG82" s="20" t="s">
        <v>669</v>
      </c>
      <c r="AH82" s="19">
        <v>9</v>
      </c>
      <c r="AI82" s="20"/>
      <c r="AJ82" s="20"/>
      <c r="AK82" s="20"/>
      <c r="AL82" s="20"/>
      <c r="AM82" s="24"/>
      <c r="AN82" s="59"/>
      <c r="AO82" s="12"/>
      <c r="AP82" s="60"/>
    </row>
    <row r="83" spans="1:42" ht="15.6" x14ac:dyDescent="0.3">
      <c r="A83" s="23"/>
      <c r="B83" s="20" t="s">
        <v>168</v>
      </c>
      <c r="C83" s="20"/>
      <c r="D83" s="20" t="s">
        <v>6</v>
      </c>
      <c r="E83" s="20"/>
      <c r="F83" s="66"/>
      <c r="G83" s="20"/>
      <c r="H83" s="20" t="s">
        <v>7</v>
      </c>
      <c r="I83" s="20" t="s">
        <v>165</v>
      </c>
      <c r="J83" s="50">
        <v>28361</v>
      </c>
      <c r="K83" s="50" t="s">
        <v>204</v>
      </c>
      <c r="L83" s="20" t="s">
        <v>14</v>
      </c>
      <c r="M83" s="20"/>
      <c r="N83" s="20"/>
      <c r="O83" s="20"/>
      <c r="P83" s="20"/>
      <c r="Q83" s="20"/>
      <c r="R83" s="20"/>
      <c r="S83" s="20"/>
      <c r="T83" s="20">
        <v>2016</v>
      </c>
      <c r="U83" s="20"/>
      <c r="V83" s="20"/>
      <c r="W83" s="20" t="s">
        <v>21</v>
      </c>
      <c r="X83" s="20" t="s">
        <v>166</v>
      </c>
      <c r="Y83" s="20"/>
      <c r="Z83" s="20"/>
      <c r="AA83" s="20"/>
      <c r="AB83" s="20"/>
      <c r="AC83" s="20"/>
      <c r="AD83" s="20"/>
      <c r="AE83" s="20"/>
      <c r="AF83" s="20"/>
      <c r="AG83" s="20"/>
      <c r="AH83" s="19"/>
      <c r="AI83" s="20"/>
      <c r="AJ83" s="20"/>
      <c r="AK83" s="20"/>
      <c r="AL83" s="20"/>
      <c r="AM83" s="24"/>
      <c r="AN83" s="59"/>
      <c r="AO83" s="12"/>
      <c r="AP83" s="60"/>
    </row>
    <row r="84" spans="1:42" ht="15.6" x14ac:dyDescent="0.3">
      <c r="A84" s="23"/>
      <c r="B84" s="20" t="s">
        <v>167</v>
      </c>
      <c r="C84" s="20"/>
      <c r="D84" s="20" t="s">
        <v>6</v>
      </c>
      <c r="E84" s="20"/>
      <c r="F84" s="66"/>
      <c r="G84" s="20"/>
      <c r="H84" s="20" t="s">
        <v>7</v>
      </c>
      <c r="I84" s="20" t="s">
        <v>165</v>
      </c>
      <c r="J84" s="50">
        <v>28361</v>
      </c>
      <c r="K84" s="50" t="s">
        <v>204</v>
      </c>
      <c r="L84" s="20" t="s">
        <v>14</v>
      </c>
      <c r="M84" s="20"/>
      <c r="N84" s="20"/>
      <c r="O84" s="20"/>
      <c r="P84" s="20"/>
      <c r="Q84" s="20"/>
      <c r="R84" s="20"/>
      <c r="S84" s="20"/>
      <c r="T84" s="20">
        <v>2015</v>
      </c>
      <c r="U84" s="20"/>
      <c r="V84" s="20"/>
      <c r="W84" s="20" t="s">
        <v>21</v>
      </c>
      <c r="X84" s="20" t="s">
        <v>166</v>
      </c>
      <c r="Y84" s="20"/>
      <c r="Z84" s="20"/>
      <c r="AA84" s="20"/>
      <c r="AB84" s="20"/>
      <c r="AC84" s="20"/>
      <c r="AD84" s="20"/>
      <c r="AE84" s="20"/>
      <c r="AF84" s="20"/>
      <c r="AG84" s="20"/>
      <c r="AH84" s="19"/>
      <c r="AI84" s="20"/>
      <c r="AJ84" s="20"/>
      <c r="AK84" s="20"/>
      <c r="AL84" s="20"/>
      <c r="AM84" s="24"/>
      <c r="AN84" s="59"/>
      <c r="AO84" s="12"/>
      <c r="AP84" s="60"/>
    </row>
    <row r="85" spans="1:42" ht="31.2" x14ac:dyDescent="0.3">
      <c r="A85" s="23"/>
      <c r="B85" s="20" t="s">
        <v>934</v>
      </c>
      <c r="C85" s="20" t="s">
        <v>940</v>
      </c>
      <c r="D85" s="20" t="s">
        <v>6</v>
      </c>
      <c r="E85" s="20" t="s">
        <v>77</v>
      </c>
      <c r="F85" s="66" t="s">
        <v>944</v>
      </c>
      <c r="G85" s="20" t="s">
        <v>941</v>
      </c>
      <c r="H85" s="20" t="s">
        <v>49</v>
      </c>
      <c r="I85" s="20" t="s">
        <v>938</v>
      </c>
      <c r="J85" s="50" t="s">
        <v>942</v>
      </c>
      <c r="K85" s="50" t="s">
        <v>943</v>
      </c>
      <c r="L85" s="20" t="s">
        <v>939</v>
      </c>
      <c r="M85" s="20" t="s">
        <v>799</v>
      </c>
      <c r="N85" s="20" t="s">
        <v>1269</v>
      </c>
      <c r="O85" s="20" t="s">
        <v>1269</v>
      </c>
      <c r="P85" s="20"/>
      <c r="Q85" s="20"/>
      <c r="R85" s="20"/>
      <c r="S85" s="20"/>
      <c r="T85" s="20">
        <v>2015</v>
      </c>
      <c r="U85" s="20"/>
      <c r="V85" s="20"/>
      <c r="W85" s="20" t="s">
        <v>21</v>
      </c>
      <c r="X85" s="20" t="s">
        <v>937</v>
      </c>
      <c r="Y85" s="20"/>
      <c r="Z85" s="20"/>
      <c r="AA85" s="20"/>
      <c r="AB85" s="20" t="s">
        <v>936</v>
      </c>
      <c r="AC85" s="20">
        <v>667</v>
      </c>
      <c r="AD85" s="20"/>
      <c r="AE85" s="20"/>
      <c r="AF85" s="20"/>
      <c r="AG85" s="20" t="s">
        <v>935</v>
      </c>
      <c r="AH85" s="19">
        <v>35</v>
      </c>
      <c r="AI85" s="20"/>
      <c r="AJ85" s="20"/>
      <c r="AK85" s="20"/>
      <c r="AL85" s="20"/>
      <c r="AM85" s="24"/>
      <c r="AN85" s="59"/>
      <c r="AO85" s="12"/>
      <c r="AP85" s="60"/>
    </row>
    <row r="86" spans="1:42" ht="15.6" x14ac:dyDescent="0.3">
      <c r="A86" s="23"/>
      <c r="B86" s="20" t="s">
        <v>235</v>
      </c>
      <c r="C86" s="20"/>
      <c r="D86" s="20" t="s">
        <v>6</v>
      </c>
      <c r="E86" s="20"/>
      <c r="F86" s="66"/>
      <c r="G86" s="20"/>
      <c r="H86" s="20" t="s">
        <v>7</v>
      </c>
      <c r="I86" s="20" t="s">
        <v>234</v>
      </c>
      <c r="J86" s="50">
        <v>20128</v>
      </c>
      <c r="K86" s="50" t="s">
        <v>204</v>
      </c>
      <c r="L86" s="20" t="s">
        <v>14</v>
      </c>
      <c r="M86" s="20"/>
      <c r="N86" s="20"/>
      <c r="O86" s="20"/>
      <c r="P86" s="20"/>
      <c r="Q86" s="20"/>
      <c r="R86" s="20"/>
      <c r="S86" s="20"/>
      <c r="T86" s="20">
        <v>2006</v>
      </c>
      <c r="U86" s="20"/>
      <c r="V86" s="20"/>
      <c r="W86" s="20" t="s">
        <v>21</v>
      </c>
      <c r="X86" s="20" t="s">
        <v>8</v>
      </c>
      <c r="Y86" s="20"/>
      <c r="Z86" s="20"/>
      <c r="AA86" s="20"/>
      <c r="AB86" s="20"/>
      <c r="AC86" s="20"/>
      <c r="AD86" s="20"/>
      <c r="AE86" s="20"/>
      <c r="AF86" s="20"/>
      <c r="AG86" s="20"/>
      <c r="AH86" s="19"/>
      <c r="AI86" s="20"/>
      <c r="AJ86" s="20"/>
      <c r="AK86" s="20"/>
      <c r="AL86" s="20"/>
      <c r="AM86" s="24"/>
      <c r="AN86" s="59"/>
      <c r="AO86" s="12"/>
      <c r="AP86" s="60"/>
    </row>
    <row r="87" spans="1:42" ht="15.6" x14ac:dyDescent="0.3">
      <c r="A87" s="23"/>
      <c r="B87" s="20" t="s">
        <v>286</v>
      </c>
      <c r="C87" s="20" t="s">
        <v>677</v>
      </c>
      <c r="D87" s="20" t="s">
        <v>6</v>
      </c>
      <c r="E87" s="20" t="s">
        <v>81</v>
      </c>
      <c r="F87" s="66" t="s">
        <v>679</v>
      </c>
      <c r="G87" s="20" t="s">
        <v>678</v>
      </c>
      <c r="H87" s="20" t="s">
        <v>281</v>
      </c>
      <c r="I87" s="20" t="s">
        <v>279</v>
      </c>
      <c r="J87" s="50" t="s">
        <v>280</v>
      </c>
      <c r="K87" s="50">
        <v>8404</v>
      </c>
      <c r="L87" s="20" t="s">
        <v>282</v>
      </c>
      <c r="M87" s="20" t="s">
        <v>617</v>
      </c>
      <c r="N87" s="20" t="s">
        <v>1268</v>
      </c>
      <c r="O87" s="20" t="s">
        <v>1268</v>
      </c>
      <c r="P87" s="20"/>
      <c r="Q87" s="20"/>
      <c r="R87" s="20"/>
      <c r="S87" s="20"/>
      <c r="T87" s="20">
        <v>2020</v>
      </c>
      <c r="U87" s="20"/>
      <c r="V87" s="20"/>
      <c r="W87" s="20" t="s">
        <v>21</v>
      </c>
      <c r="X87" s="20" t="s">
        <v>8</v>
      </c>
      <c r="Y87" s="20"/>
      <c r="Z87" s="20"/>
      <c r="AA87" s="20"/>
      <c r="AB87" s="20" t="s">
        <v>676</v>
      </c>
      <c r="AC87" s="20">
        <v>864</v>
      </c>
      <c r="AD87" s="20"/>
      <c r="AE87" s="20"/>
      <c r="AF87" s="20"/>
      <c r="AG87" s="20" t="s">
        <v>675</v>
      </c>
      <c r="AH87" s="19">
        <v>18</v>
      </c>
      <c r="AI87" s="20"/>
      <c r="AJ87" s="20"/>
      <c r="AK87" s="20"/>
      <c r="AL87" s="20"/>
      <c r="AM87" s="24"/>
      <c r="AN87" s="59"/>
      <c r="AO87" s="12"/>
      <c r="AP87" s="60"/>
    </row>
    <row r="88" spans="1:42" ht="15.6" x14ac:dyDescent="0.3">
      <c r="A88" s="11"/>
      <c r="B88" s="12" t="s">
        <v>1383</v>
      </c>
      <c r="C88" s="12" t="s">
        <v>1391</v>
      </c>
      <c r="D88" s="12" t="s">
        <v>82</v>
      </c>
      <c r="E88" s="12" t="s">
        <v>84</v>
      </c>
      <c r="F88" s="65" t="s">
        <v>1393</v>
      </c>
      <c r="G88" s="12">
        <v>2009</v>
      </c>
      <c r="H88" s="12" t="s">
        <v>7</v>
      </c>
      <c r="I88" s="12" t="s">
        <v>1384</v>
      </c>
      <c r="J88" s="49" t="s">
        <v>1385</v>
      </c>
      <c r="K88" s="49" t="s">
        <v>219</v>
      </c>
      <c r="L88" s="12" t="s">
        <v>1386</v>
      </c>
      <c r="M88" s="12" t="s">
        <v>1388</v>
      </c>
      <c r="N88" s="12" t="s">
        <v>1387</v>
      </c>
      <c r="O88" s="12" t="s">
        <v>1387</v>
      </c>
      <c r="P88" s="12" t="s">
        <v>1392</v>
      </c>
      <c r="Q88" s="12"/>
      <c r="R88" s="12"/>
      <c r="S88" s="12"/>
      <c r="T88" s="12">
        <v>2025</v>
      </c>
      <c r="U88" s="12">
        <v>2025</v>
      </c>
      <c r="V88" s="12"/>
      <c r="W88" s="12" t="s">
        <v>21</v>
      </c>
      <c r="X88" s="12" t="s">
        <v>1372</v>
      </c>
      <c r="Y88" s="12" t="s">
        <v>1373</v>
      </c>
      <c r="Z88" s="12"/>
      <c r="AA88" s="12"/>
      <c r="AB88" s="12" t="s">
        <v>1390</v>
      </c>
      <c r="AC88" s="12">
        <v>704</v>
      </c>
      <c r="AD88" s="12"/>
      <c r="AE88" s="12" t="s">
        <v>1091</v>
      </c>
      <c r="AF88" s="12" t="s">
        <v>1178</v>
      </c>
      <c r="AG88" s="12" t="s">
        <v>1389</v>
      </c>
      <c r="AH88" s="13">
        <v>45</v>
      </c>
      <c r="AI88" s="12"/>
      <c r="AJ88" s="12"/>
      <c r="AK88" s="12"/>
      <c r="AL88" s="12" t="s">
        <v>1229</v>
      </c>
      <c r="AM88" s="14"/>
      <c r="AN88" s="59"/>
      <c r="AO88" s="12"/>
      <c r="AP88" s="60"/>
    </row>
    <row r="89" spans="1:42" ht="15.6" x14ac:dyDescent="0.3">
      <c r="A89" s="23"/>
      <c r="B89" s="20" t="s">
        <v>305</v>
      </c>
      <c r="C89" s="20"/>
      <c r="D89" s="20" t="s">
        <v>6</v>
      </c>
      <c r="E89" s="20"/>
      <c r="F89" s="66"/>
      <c r="G89" s="20"/>
      <c r="H89" s="20" t="s">
        <v>7</v>
      </c>
      <c r="I89" s="20" t="s">
        <v>306</v>
      </c>
      <c r="J89" s="50" t="s">
        <v>307</v>
      </c>
      <c r="K89" s="50" t="s">
        <v>308</v>
      </c>
      <c r="L89" s="20" t="s">
        <v>14</v>
      </c>
      <c r="M89" s="20"/>
      <c r="N89" s="20"/>
      <c r="O89" s="20"/>
      <c r="P89" s="20"/>
      <c r="Q89" s="20"/>
      <c r="R89" s="20"/>
      <c r="S89" s="20"/>
      <c r="T89" s="20">
        <v>2014</v>
      </c>
      <c r="U89" s="20"/>
      <c r="V89" s="20"/>
      <c r="W89" s="20" t="s">
        <v>21</v>
      </c>
      <c r="X89" s="20" t="s">
        <v>159</v>
      </c>
      <c r="Y89" s="20"/>
      <c r="Z89" s="20"/>
      <c r="AA89" s="20"/>
      <c r="AB89" s="20"/>
      <c r="AC89" s="20"/>
      <c r="AD89" s="20"/>
      <c r="AE89" s="20"/>
      <c r="AF89" s="20"/>
      <c r="AG89" s="20"/>
      <c r="AH89" s="19"/>
      <c r="AI89" s="20"/>
      <c r="AJ89" s="20"/>
      <c r="AK89" s="20"/>
      <c r="AL89" s="20"/>
      <c r="AM89" s="24"/>
      <c r="AN89" s="59"/>
      <c r="AO89" s="12"/>
      <c r="AP89" s="60"/>
    </row>
    <row r="90" spans="1:42" ht="15.6" x14ac:dyDescent="0.3">
      <c r="A90" s="23"/>
      <c r="B90" s="20" t="s">
        <v>407</v>
      </c>
      <c r="C90" s="20"/>
      <c r="D90" s="20" t="s">
        <v>6</v>
      </c>
      <c r="E90" s="20"/>
      <c r="F90" s="66"/>
      <c r="G90" s="20"/>
      <c r="H90" s="20" t="s">
        <v>404</v>
      </c>
      <c r="I90" s="20" t="s">
        <v>406</v>
      </c>
      <c r="J90" s="50" t="s">
        <v>402</v>
      </c>
      <c r="K90" s="50" t="s">
        <v>403</v>
      </c>
      <c r="L90" s="20" t="s">
        <v>404</v>
      </c>
      <c r="M90" s="20"/>
      <c r="N90" s="20"/>
      <c r="O90" s="20"/>
      <c r="P90" s="20"/>
      <c r="Q90" s="20"/>
      <c r="R90" s="20"/>
      <c r="S90" s="20"/>
      <c r="T90" s="20">
        <v>2017</v>
      </c>
      <c r="U90" s="20"/>
      <c r="V90" s="20"/>
      <c r="W90" s="20" t="s">
        <v>21</v>
      </c>
      <c r="X90" s="20" t="s">
        <v>405</v>
      </c>
      <c r="Y90" s="20"/>
      <c r="Z90" s="20"/>
      <c r="AA90" s="20"/>
      <c r="AB90" s="20"/>
      <c r="AC90" s="20"/>
      <c r="AD90" s="20"/>
      <c r="AE90" s="20"/>
      <c r="AF90" s="20"/>
      <c r="AG90" s="20"/>
      <c r="AH90" s="19"/>
      <c r="AI90" s="20"/>
      <c r="AJ90" s="20"/>
      <c r="AK90" s="20"/>
      <c r="AL90" s="20"/>
      <c r="AM90" s="24"/>
      <c r="AN90" s="59"/>
      <c r="AO90" s="12"/>
      <c r="AP90" s="60"/>
    </row>
    <row r="91" spans="1:42" ht="15.6" x14ac:dyDescent="0.3">
      <c r="A91" s="23"/>
      <c r="B91" s="20" t="s">
        <v>289</v>
      </c>
      <c r="C91" s="20" t="s">
        <v>1215</v>
      </c>
      <c r="D91" s="20" t="s">
        <v>6</v>
      </c>
      <c r="E91" s="20" t="s">
        <v>76</v>
      </c>
      <c r="F91" s="66" t="s">
        <v>656</v>
      </c>
      <c r="G91" s="20" t="s">
        <v>1051</v>
      </c>
      <c r="H91" s="20" t="s">
        <v>276</v>
      </c>
      <c r="I91" s="20" t="s">
        <v>292</v>
      </c>
      <c r="J91" s="50" t="s">
        <v>293</v>
      </c>
      <c r="K91" s="50">
        <v>10255</v>
      </c>
      <c r="L91" s="20" t="s">
        <v>285</v>
      </c>
      <c r="M91" s="20" t="s">
        <v>617</v>
      </c>
      <c r="N91" s="20" t="s">
        <v>1268</v>
      </c>
      <c r="O91" s="20" t="s">
        <v>1268</v>
      </c>
      <c r="P91" s="20"/>
      <c r="Q91" s="20"/>
      <c r="R91" s="20"/>
      <c r="S91" s="20"/>
      <c r="T91" s="20">
        <v>2016</v>
      </c>
      <c r="U91" s="20"/>
      <c r="V91" s="20"/>
      <c r="W91" s="20" t="s">
        <v>21</v>
      </c>
      <c r="X91" s="20" t="s">
        <v>294</v>
      </c>
      <c r="Y91" s="20"/>
      <c r="Z91" s="20"/>
      <c r="AA91" s="20"/>
      <c r="AB91" s="20" t="s">
        <v>655</v>
      </c>
      <c r="AC91" s="20">
        <v>110</v>
      </c>
      <c r="AD91" s="20"/>
      <c r="AE91" s="20"/>
      <c r="AF91" s="20"/>
      <c r="AG91" s="20" t="s">
        <v>654</v>
      </c>
      <c r="AH91" s="19">
        <v>7</v>
      </c>
      <c r="AI91" s="20"/>
      <c r="AJ91" s="20"/>
      <c r="AK91" s="20"/>
      <c r="AL91" s="20"/>
      <c r="AM91" s="24"/>
      <c r="AN91" s="59"/>
      <c r="AO91" s="12"/>
      <c r="AP91" s="60"/>
    </row>
    <row r="92" spans="1:42" ht="31.2" x14ac:dyDescent="0.3">
      <c r="A92" s="23"/>
      <c r="B92" s="20" t="s">
        <v>723</v>
      </c>
      <c r="C92" s="20" t="s">
        <v>731</v>
      </c>
      <c r="D92" s="20" t="s">
        <v>106</v>
      </c>
      <c r="E92" s="20" t="s">
        <v>730</v>
      </c>
      <c r="F92" s="66" t="s">
        <v>733</v>
      </c>
      <c r="G92" s="20" t="s">
        <v>732</v>
      </c>
      <c r="H92" s="20" t="s">
        <v>728</v>
      </c>
      <c r="I92" s="20" t="s">
        <v>726</v>
      </c>
      <c r="J92" s="50" t="s">
        <v>727</v>
      </c>
      <c r="K92" s="50">
        <v>2335</v>
      </c>
      <c r="L92" s="20" t="s">
        <v>728</v>
      </c>
      <c r="M92" s="20" t="s">
        <v>617</v>
      </c>
      <c r="N92" s="20" t="s">
        <v>1268</v>
      </c>
      <c r="O92" s="20" t="s">
        <v>1268</v>
      </c>
      <c r="P92" s="20"/>
      <c r="Q92" s="20"/>
      <c r="R92" s="20"/>
      <c r="S92" s="20"/>
      <c r="T92" s="20">
        <v>2009</v>
      </c>
      <c r="U92" s="20"/>
      <c r="V92" s="20"/>
      <c r="W92" s="20" t="s">
        <v>21</v>
      </c>
      <c r="X92" s="20" t="s">
        <v>11</v>
      </c>
      <c r="Y92" s="20"/>
      <c r="Z92" s="20"/>
      <c r="AA92" s="20"/>
      <c r="AB92" s="20" t="s">
        <v>725</v>
      </c>
      <c r="AC92" s="20">
        <v>1158</v>
      </c>
      <c r="AD92" s="20"/>
      <c r="AE92" s="20"/>
      <c r="AF92" s="20"/>
      <c r="AG92" s="20" t="s">
        <v>724</v>
      </c>
      <c r="AH92" s="19">
        <v>15</v>
      </c>
      <c r="AI92" s="20"/>
      <c r="AJ92" s="20"/>
      <c r="AK92" s="20"/>
      <c r="AL92" s="20"/>
      <c r="AM92" s="24"/>
      <c r="AN92" s="59"/>
      <c r="AO92" s="12"/>
      <c r="AP92" s="60"/>
    </row>
    <row r="93" spans="1:42" ht="15.6" x14ac:dyDescent="0.3">
      <c r="A93" s="11"/>
      <c r="B93" s="12" t="s">
        <v>1371</v>
      </c>
      <c r="C93" s="12" t="s">
        <v>1375</v>
      </c>
      <c r="D93" s="12" t="s">
        <v>82</v>
      </c>
      <c r="E93" s="12" t="s">
        <v>84</v>
      </c>
      <c r="F93" s="65" t="s">
        <v>1394</v>
      </c>
      <c r="G93" s="12">
        <v>2013</v>
      </c>
      <c r="H93" s="12" t="s">
        <v>7</v>
      </c>
      <c r="I93" s="12" t="s">
        <v>1380</v>
      </c>
      <c r="J93" s="49" t="s">
        <v>1381</v>
      </c>
      <c r="K93" s="49" t="s">
        <v>1382</v>
      </c>
      <c r="L93" s="12" t="s">
        <v>1376</v>
      </c>
      <c r="M93" s="12" t="s">
        <v>1377</v>
      </c>
      <c r="N93" s="12" t="s">
        <v>1378</v>
      </c>
      <c r="O93" s="12" t="s">
        <v>1378</v>
      </c>
      <c r="P93" s="12" t="s">
        <v>1379</v>
      </c>
      <c r="Q93" s="12"/>
      <c r="R93" s="12"/>
      <c r="S93" s="12"/>
      <c r="T93" s="12">
        <v>2020</v>
      </c>
      <c r="U93" s="12">
        <v>2020</v>
      </c>
      <c r="V93" s="12"/>
      <c r="W93" s="12" t="s">
        <v>21</v>
      </c>
      <c r="X93" s="12" t="s">
        <v>1372</v>
      </c>
      <c r="Y93" s="12" t="s">
        <v>1373</v>
      </c>
      <c r="Z93" s="12"/>
      <c r="AA93" s="12"/>
      <c r="AB93" s="12" t="s">
        <v>1374</v>
      </c>
      <c r="AC93" s="12">
        <v>428</v>
      </c>
      <c r="AD93" s="12"/>
      <c r="AE93" s="12" t="s">
        <v>1091</v>
      </c>
      <c r="AF93" s="12" t="s">
        <v>1182</v>
      </c>
      <c r="AG93" s="12" t="s">
        <v>935</v>
      </c>
      <c r="AH93" s="13">
        <v>35</v>
      </c>
      <c r="AI93" s="12"/>
      <c r="AJ93" s="12"/>
      <c r="AK93" s="12"/>
      <c r="AL93" s="12" t="s">
        <v>1233</v>
      </c>
      <c r="AM93" s="14"/>
      <c r="AN93" s="59"/>
      <c r="AO93" s="12"/>
      <c r="AP93" s="60"/>
    </row>
    <row r="94" spans="1:42" ht="15.6" x14ac:dyDescent="0.3">
      <c r="A94" s="23"/>
      <c r="B94" s="20" t="s">
        <v>298</v>
      </c>
      <c r="C94" s="20"/>
      <c r="D94" s="20" t="s">
        <v>6</v>
      </c>
      <c r="E94" s="20"/>
      <c r="F94" s="66"/>
      <c r="G94" s="20"/>
      <c r="H94" s="20" t="s">
        <v>7</v>
      </c>
      <c r="I94" s="20" t="s">
        <v>299</v>
      </c>
      <c r="J94" s="50" t="s">
        <v>300</v>
      </c>
      <c r="K94" s="50">
        <v>10027</v>
      </c>
      <c r="L94" s="20" t="s">
        <v>13</v>
      </c>
      <c r="M94" s="20"/>
      <c r="N94" s="20"/>
      <c r="O94" s="20"/>
      <c r="P94" s="20"/>
      <c r="Q94" s="20"/>
      <c r="R94" s="20"/>
      <c r="S94" s="20"/>
      <c r="T94" s="20">
        <v>1997</v>
      </c>
      <c r="U94" s="20"/>
      <c r="V94" s="20"/>
      <c r="W94" s="20" t="s">
        <v>21</v>
      </c>
      <c r="X94" s="20" t="s">
        <v>159</v>
      </c>
      <c r="Y94" s="20"/>
      <c r="Z94" s="20"/>
      <c r="AA94" s="20"/>
      <c r="AB94" s="20"/>
      <c r="AC94" s="20"/>
      <c r="AD94" s="20"/>
      <c r="AE94" s="20"/>
      <c r="AF94" s="20"/>
      <c r="AG94" s="20"/>
      <c r="AH94" s="19"/>
      <c r="AI94" s="20"/>
      <c r="AJ94" s="20"/>
      <c r="AK94" s="20"/>
      <c r="AL94" s="20"/>
      <c r="AM94" s="24"/>
      <c r="AN94" s="59"/>
      <c r="AO94" s="12"/>
      <c r="AP94" s="60"/>
    </row>
    <row r="95" spans="1:42" ht="15.6" x14ac:dyDescent="0.3">
      <c r="A95" s="23"/>
      <c r="B95" s="20" t="s">
        <v>118</v>
      </c>
      <c r="C95" s="20"/>
      <c r="D95" s="20" t="s">
        <v>6</v>
      </c>
      <c r="E95" s="20"/>
      <c r="F95" s="66"/>
      <c r="G95" s="20"/>
      <c r="H95" s="20" t="s">
        <v>126</v>
      </c>
      <c r="I95" s="20" t="s">
        <v>1216</v>
      </c>
      <c r="J95" s="50" t="s">
        <v>203</v>
      </c>
      <c r="K95" s="50" t="s">
        <v>206</v>
      </c>
      <c r="L95" s="20" t="s">
        <v>125</v>
      </c>
      <c r="M95" s="20"/>
      <c r="N95" s="20"/>
      <c r="O95" s="20"/>
      <c r="P95" s="20"/>
      <c r="Q95" s="20"/>
      <c r="R95" s="20"/>
      <c r="S95" s="20"/>
      <c r="T95" s="20">
        <v>2019</v>
      </c>
      <c r="U95" s="20"/>
      <c r="V95" s="20"/>
      <c r="W95" s="20" t="s">
        <v>21</v>
      </c>
      <c r="X95" s="20" t="s">
        <v>8</v>
      </c>
      <c r="Y95" s="20"/>
      <c r="Z95" s="20"/>
      <c r="AA95" s="20"/>
      <c r="AB95" s="20"/>
      <c r="AC95" s="20"/>
      <c r="AD95" s="20"/>
      <c r="AE95" s="20"/>
      <c r="AF95" s="20"/>
      <c r="AG95" s="20"/>
      <c r="AH95" s="19"/>
      <c r="AI95" s="20"/>
      <c r="AJ95" s="20"/>
      <c r="AK95" s="20"/>
      <c r="AL95" s="20"/>
      <c r="AM95" s="24"/>
      <c r="AN95" s="59"/>
      <c r="AO95" s="12"/>
      <c r="AP95" s="60"/>
    </row>
    <row r="96" spans="1:42" ht="15.6" x14ac:dyDescent="0.3">
      <c r="A96" s="23"/>
      <c r="B96" s="20" t="s">
        <v>370</v>
      </c>
      <c r="C96" s="20"/>
      <c r="D96" s="20" t="s">
        <v>6</v>
      </c>
      <c r="E96" s="20"/>
      <c r="F96" s="66"/>
      <c r="G96" s="20"/>
      <c r="H96" s="20" t="s">
        <v>7</v>
      </c>
      <c r="I96" s="20" t="s">
        <v>371</v>
      </c>
      <c r="J96" s="50" t="s">
        <v>372</v>
      </c>
      <c r="K96" s="50">
        <v>14989</v>
      </c>
      <c r="L96" s="20" t="s">
        <v>13</v>
      </c>
      <c r="M96" s="20"/>
      <c r="N96" s="20"/>
      <c r="O96" s="20"/>
      <c r="P96" s="20"/>
      <c r="Q96" s="20"/>
      <c r="R96" s="20"/>
      <c r="S96" s="20"/>
      <c r="T96" s="20">
        <v>1970</v>
      </c>
      <c r="U96" s="20"/>
      <c r="V96" s="20"/>
      <c r="W96" s="20" t="s">
        <v>21</v>
      </c>
      <c r="X96" s="20" t="s">
        <v>8</v>
      </c>
      <c r="Y96" s="20"/>
      <c r="Z96" s="20"/>
      <c r="AA96" s="20"/>
      <c r="AB96" s="20"/>
      <c r="AC96" s="20"/>
      <c r="AD96" s="20"/>
      <c r="AE96" s="20"/>
      <c r="AF96" s="20"/>
      <c r="AG96" s="20"/>
      <c r="AH96" s="19"/>
      <c r="AI96" s="20"/>
      <c r="AJ96" s="20"/>
      <c r="AK96" s="20"/>
      <c r="AL96" s="20"/>
      <c r="AM96" s="24"/>
      <c r="AN96" s="59"/>
      <c r="AO96" s="12"/>
      <c r="AP96" s="60"/>
    </row>
    <row r="97" spans="1:42" ht="15.6" x14ac:dyDescent="0.3">
      <c r="A97" s="23"/>
      <c r="B97" s="20" t="s">
        <v>326</v>
      </c>
      <c r="C97" s="20" t="s">
        <v>1217</v>
      </c>
      <c r="D97" s="20" t="s">
        <v>6</v>
      </c>
      <c r="E97" s="20" t="s">
        <v>76</v>
      </c>
      <c r="F97" s="66" t="s">
        <v>672</v>
      </c>
      <c r="G97" s="20">
        <v>1915</v>
      </c>
      <c r="H97" s="20" t="s">
        <v>49</v>
      </c>
      <c r="I97" s="20" t="s">
        <v>324</v>
      </c>
      <c r="J97" s="50" t="s">
        <v>325</v>
      </c>
      <c r="K97" s="50">
        <v>8921</v>
      </c>
      <c r="L97" s="20" t="s">
        <v>282</v>
      </c>
      <c r="M97" s="20" t="s">
        <v>617</v>
      </c>
      <c r="N97" s="20" t="s">
        <v>1268</v>
      </c>
      <c r="O97" s="20" t="s">
        <v>1268</v>
      </c>
      <c r="P97" s="20"/>
      <c r="Q97" s="20"/>
      <c r="R97" s="20"/>
      <c r="S97" s="20"/>
      <c r="T97" s="20">
        <v>1991</v>
      </c>
      <c r="U97" s="20"/>
      <c r="V97" s="20"/>
      <c r="W97" s="20" t="s">
        <v>21</v>
      </c>
      <c r="X97" s="20" t="s">
        <v>159</v>
      </c>
      <c r="Y97" s="20"/>
      <c r="Z97" s="20"/>
      <c r="AA97" s="20"/>
      <c r="AB97" s="20" t="s">
        <v>670</v>
      </c>
      <c r="AC97" s="20">
        <v>297</v>
      </c>
      <c r="AD97" s="20"/>
      <c r="AE97" s="20"/>
      <c r="AF97" s="20"/>
      <c r="AG97" s="20" t="s">
        <v>669</v>
      </c>
      <c r="AH97" s="19">
        <v>9</v>
      </c>
      <c r="AI97" s="20"/>
      <c r="AJ97" s="20"/>
      <c r="AK97" s="20"/>
      <c r="AL97" s="20"/>
      <c r="AM97" s="24"/>
      <c r="AN97" s="59"/>
      <c r="AO97" s="12"/>
      <c r="AP97" s="60"/>
    </row>
    <row r="98" spans="1:42" ht="15.6" x14ac:dyDescent="0.3">
      <c r="A98" s="23"/>
      <c r="B98" s="20" t="s">
        <v>323</v>
      </c>
      <c r="C98" s="20" t="s">
        <v>671</v>
      </c>
      <c r="D98" s="20" t="s">
        <v>82</v>
      </c>
      <c r="E98" s="20" t="s">
        <v>606</v>
      </c>
      <c r="F98" s="66" t="s">
        <v>673</v>
      </c>
      <c r="G98" s="20">
        <v>1952</v>
      </c>
      <c r="H98" s="20" t="s">
        <v>49</v>
      </c>
      <c r="I98" s="20" t="s">
        <v>324</v>
      </c>
      <c r="J98" s="50" t="s">
        <v>325</v>
      </c>
      <c r="K98" s="50">
        <v>8921</v>
      </c>
      <c r="L98" s="20" t="s">
        <v>282</v>
      </c>
      <c r="M98" s="20" t="s">
        <v>617</v>
      </c>
      <c r="N98" s="20" t="s">
        <v>1268</v>
      </c>
      <c r="O98" s="20" t="s">
        <v>1268</v>
      </c>
      <c r="P98" s="20"/>
      <c r="Q98" s="20"/>
      <c r="R98" s="20"/>
      <c r="S98" s="20"/>
      <c r="T98" s="20">
        <v>2017</v>
      </c>
      <c r="U98" s="20"/>
      <c r="V98" s="20"/>
      <c r="W98" s="20" t="s">
        <v>21</v>
      </c>
      <c r="X98" s="20" t="s">
        <v>8</v>
      </c>
      <c r="Y98" s="20"/>
      <c r="Z98" s="20"/>
      <c r="AA98" s="20"/>
      <c r="AB98" s="20" t="s">
        <v>668</v>
      </c>
      <c r="AC98" s="20">
        <v>268</v>
      </c>
      <c r="AD98" s="20"/>
      <c r="AE98" s="20"/>
      <c r="AF98" s="20"/>
      <c r="AG98" s="20" t="s">
        <v>667</v>
      </c>
      <c r="AH98" s="19">
        <v>12.5</v>
      </c>
      <c r="AI98" s="20"/>
      <c r="AJ98" s="20"/>
      <c r="AK98" s="20"/>
      <c r="AL98" s="20"/>
      <c r="AM98" s="24"/>
      <c r="AN98" s="59"/>
      <c r="AO98" s="12"/>
      <c r="AP98" s="60"/>
    </row>
    <row r="99" spans="1:42" ht="15.6" x14ac:dyDescent="0.3">
      <c r="A99" s="23"/>
      <c r="B99" s="20" t="s">
        <v>248</v>
      </c>
      <c r="C99" s="20"/>
      <c r="D99" s="20" t="s">
        <v>6</v>
      </c>
      <c r="E99" s="20"/>
      <c r="F99" s="66"/>
      <c r="G99" s="20"/>
      <c r="H99" s="20" t="s">
        <v>7</v>
      </c>
      <c r="I99" s="20" t="s">
        <v>249</v>
      </c>
      <c r="J99" s="50">
        <v>17431</v>
      </c>
      <c r="K99" s="50" t="s">
        <v>204</v>
      </c>
      <c r="L99" s="20" t="s">
        <v>14</v>
      </c>
      <c r="M99" s="20"/>
      <c r="N99" s="20"/>
      <c r="O99" s="20"/>
      <c r="P99" s="20"/>
      <c r="Q99" s="20"/>
      <c r="R99" s="20"/>
      <c r="S99" s="20"/>
      <c r="T99" s="20">
        <v>1988</v>
      </c>
      <c r="U99" s="20"/>
      <c r="V99" s="20"/>
      <c r="W99" s="20" t="s">
        <v>21</v>
      </c>
      <c r="X99" s="20" t="s">
        <v>8</v>
      </c>
      <c r="Y99" s="20"/>
      <c r="Z99" s="20"/>
      <c r="AA99" s="20"/>
      <c r="AB99" s="20"/>
      <c r="AC99" s="20"/>
      <c r="AD99" s="20"/>
      <c r="AE99" s="20"/>
      <c r="AF99" s="20"/>
      <c r="AG99" s="20"/>
      <c r="AH99" s="19"/>
      <c r="AI99" s="20"/>
      <c r="AJ99" s="20"/>
      <c r="AK99" s="20"/>
      <c r="AL99" s="20"/>
      <c r="AM99" s="24"/>
      <c r="AN99" s="59"/>
      <c r="AO99" s="12"/>
      <c r="AP99" s="60"/>
    </row>
    <row r="100" spans="1:42" ht="15.6" x14ac:dyDescent="0.3">
      <c r="A100" s="23"/>
      <c r="B100" s="20" t="s">
        <v>699</v>
      </c>
      <c r="C100" s="20" t="s">
        <v>700</v>
      </c>
      <c r="D100" s="20" t="s">
        <v>6</v>
      </c>
      <c r="E100" s="20" t="s">
        <v>81</v>
      </c>
      <c r="F100" s="66" t="s">
        <v>705</v>
      </c>
      <c r="G100" s="20">
        <v>1909</v>
      </c>
      <c r="H100" s="20" t="s">
        <v>49</v>
      </c>
      <c r="I100" s="20" t="s">
        <v>702</v>
      </c>
      <c r="J100" s="50" t="s">
        <v>703</v>
      </c>
      <c r="K100" s="50">
        <v>21782</v>
      </c>
      <c r="L100" s="20" t="s">
        <v>704</v>
      </c>
      <c r="M100" s="20" t="s">
        <v>617</v>
      </c>
      <c r="N100" s="20" t="s">
        <v>1268</v>
      </c>
      <c r="O100" s="20" t="s">
        <v>1268</v>
      </c>
      <c r="P100" s="20"/>
      <c r="Q100" s="20"/>
      <c r="R100" s="20"/>
      <c r="S100" s="20"/>
      <c r="T100" s="20">
        <v>2001</v>
      </c>
      <c r="U100" s="20"/>
      <c r="V100" s="20"/>
      <c r="W100" s="20" t="s">
        <v>21</v>
      </c>
      <c r="X100" s="20" t="s">
        <v>269</v>
      </c>
      <c r="Y100" s="20"/>
      <c r="Z100" s="20"/>
      <c r="AA100" s="20"/>
      <c r="AB100" s="20" t="s">
        <v>701</v>
      </c>
      <c r="AC100" s="20">
        <v>293</v>
      </c>
      <c r="AD100" s="20"/>
      <c r="AE100" s="20"/>
      <c r="AF100" s="20"/>
      <c r="AG100" s="20" t="s">
        <v>646</v>
      </c>
      <c r="AH100" s="19">
        <v>14</v>
      </c>
      <c r="AI100" s="20"/>
      <c r="AJ100" s="20"/>
      <c r="AK100" s="20"/>
      <c r="AL100" s="20"/>
      <c r="AM100" s="24"/>
      <c r="AN100" s="59"/>
      <c r="AO100" s="12"/>
      <c r="AP100" s="60"/>
    </row>
    <row r="101" spans="1:42" ht="15.6" x14ac:dyDescent="0.3">
      <c r="A101" s="23"/>
      <c r="B101" s="20" t="s">
        <v>770</v>
      </c>
      <c r="C101" s="20" t="s">
        <v>771</v>
      </c>
      <c r="D101" s="20" t="s">
        <v>6</v>
      </c>
      <c r="E101" s="20" t="s">
        <v>81</v>
      </c>
      <c r="F101" s="66" t="s">
        <v>773</v>
      </c>
      <c r="G101" s="20" t="s">
        <v>772</v>
      </c>
      <c r="H101" s="20" t="s">
        <v>766</v>
      </c>
      <c r="I101" s="20" t="s">
        <v>764</v>
      </c>
      <c r="J101" s="50" t="s">
        <v>767</v>
      </c>
      <c r="K101" s="50">
        <v>14686</v>
      </c>
      <c r="L101" s="20" t="s">
        <v>766</v>
      </c>
      <c r="M101" s="20" t="s">
        <v>645</v>
      </c>
      <c r="N101" s="20" t="s">
        <v>765</v>
      </c>
      <c r="O101" s="20" t="s">
        <v>1268</v>
      </c>
      <c r="P101" s="20"/>
      <c r="Q101" s="20"/>
      <c r="R101" s="20"/>
      <c r="S101" s="20"/>
      <c r="T101" s="20">
        <v>2011</v>
      </c>
      <c r="U101" s="20"/>
      <c r="V101" s="20"/>
      <c r="W101" s="20" t="s">
        <v>21</v>
      </c>
      <c r="X101" s="20" t="s">
        <v>8</v>
      </c>
      <c r="Y101" s="20"/>
      <c r="Z101" s="20"/>
      <c r="AA101" s="20"/>
      <c r="AB101" s="20" t="s">
        <v>769</v>
      </c>
      <c r="AC101" s="20">
        <v>294</v>
      </c>
      <c r="AD101" s="20"/>
      <c r="AE101" s="20"/>
      <c r="AF101" s="20"/>
      <c r="AG101" s="20" t="s">
        <v>669</v>
      </c>
      <c r="AH101" s="19">
        <v>9</v>
      </c>
      <c r="AI101" s="20"/>
      <c r="AJ101" s="20"/>
      <c r="AK101" s="20"/>
      <c r="AL101" s="20"/>
      <c r="AM101" s="24"/>
      <c r="AN101" s="59"/>
      <c r="AO101" s="12"/>
      <c r="AP101" s="60"/>
    </row>
    <row r="102" spans="1:42" ht="31.2" x14ac:dyDescent="0.3">
      <c r="A102" s="23"/>
      <c r="B102" s="20" t="s">
        <v>762</v>
      </c>
      <c r="C102" s="20" t="s">
        <v>763</v>
      </c>
      <c r="D102" s="20" t="s">
        <v>6</v>
      </c>
      <c r="E102" s="20" t="s">
        <v>81</v>
      </c>
      <c r="F102" s="66" t="s">
        <v>768</v>
      </c>
      <c r="G102" s="20">
        <v>1891</v>
      </c>
      <c r="H102" s="20" t="s">
        <v>766</v>
      </c>
      <c r="I102" s="20" t="s">
        <v>764</v>
      </c>
      <c r="J102" s="50" t="s">
        <v>767</v>
      </c>
      <c r="K102" s="50">
        <v>14686</v>
      </c>
      <c r="L102" s="20" t="s">
        <v>766</v>
      </c>
      <c r="M102" s="20" t="s">
        <v>645</v>
      </c>
      <c r="N102" s="20" t="s">
        <v>765</v>
      </c>
      <c r="O102" s="20" t="s">
        <v>1268</v>
      </c>
      <c r="P102" s="20"/>
      <c r="Q102" s="20"/>
      <c r="R102" s="20"/>
      <c r="S102" s="20"/>
      <c r="T102" s="20">
        <v>2007</v>
      </c>
      <c r="U102" s="20"/>
      <c r="V102" s="20"/>
      <c r="W102" s="20" t="s">
        <v>21</v>
      </c>
      <c r="X102" s="20" t="s">
        <v>405</v>
      </c>
      <c r="Y102" s="20"/>
      <c r="Z102" s="20"/>
      <c r="AA102" s="20"/>
      <c r="AB102" s="20" t="s">
        <v>761</v>
      </c>
      <c r="AC102" s="20">
        <v>498</v>
      </c>
      <c r="AD102" s="20"/>
      <c r="AE102" s="20"/>
      <c r="AF102" s="20"/>
      <c r="AG102" s="20" t="s">
        <v>760</v>
      </c>
      <c r="AH102" s="19">
        <v>19</v>
      </c>
      <c r="AI102" s="20"/>
      <c r="AJ102" s="20"/>
      <c r="AK102" s="20"/>
      <c r="AL102" s="20"/>
      <c r="AM102" s="24"/>
      <c r="AN102" s="59"/>
      <c r="AO102" s="12"/>
      <c r="AP102" s="60"/>
    </row>
    <row r="103" spans="1:42" ht="15.6" x14ac:dyDescent="0.3">
      <c r="A103" s="23"/>
      <c r="B103" s="20" t="s">
        <v>422</v>
      </c>
      <c r="C103" s="20"/>
      <c r="D103" s="20" t="s">
        <v>6</v>
      </c>
      <c r="E103" s="20"/>
      <c r="F103" s="66"/>
      <c r="G103" s="20"/>
      <c r="H103" s="20" t="s">
        <v>7</v>
      </c>
      <c r="I103" s="20" t="s">
        <v>421</v>
      </c>
      <c r="J103" s="50" t="s">
        <v>424</v>
      </c>
      <c r="K103" s="50">
        <v>11019</v>
      </c>
      <c r="L103" s="20" t="s">
        <v>226</v>
      </c>
      <c r="M103" s="20"/>
      <c r="N103" s="20"/>
      <c r="O103" s="20"/>
      <c r="P103" s="20"/>
      <c r="Q103" s="20"/>
      <c r="R103" s="20"/>
      <c r="S103" s="20"/>
      <c r="T103" s="20">
        <v>2001</v>
      </c>
      <c r="U103" s="20"/>
      <c r="V103" s="20"/>
      <c r="W103" s="20" t="s">
        <v>21</v>
      </c>
      <c r="X103" s="20" t="s">
        <v>423</v>
      </c>
      <c r="Y103" s="20"/>
      <c r="Z103" s="20"/>
      <c r="AA103" s="20"/>
      <c r="AB103" s="20"/>
      <c r="AC103" s="20"/>
      <c r="AD103" s="20"/>
      <c r="AE103" s="20"/>
      <c r="AF103" s="20"/>
      <c r="AG103" s="20"/>
      <c r="AH103" s="19"/>
      <c r="AI103" s="20"/>
      <c r="AJ103" s="20"/>
      <c r="AK103" s="20"/>
      <c r="AL103" s="20"/>
      <c r="AM103" s="24"/>
      <c r="AN103" s="59"/>
      <c r="AO103" s="12"/>
      <c r="AP103" s="60"/>
    </row>
    <row r="104" spans="1:42" ht="15.6" x14ac:dyDescent="0.3">
      <c r="A104" s="23"/>
      <c r="B104" s="20" t="s">
        <v>119</v>
      </c>
      <c r="C104" s="20" t="s">
        <v>1011</v>
      </c>
      <c r="D104" s="20" t="s">
        <v>6</v>
      </c>
      <c r="E104" s="20" t="s">
        <v>744</v>
      </c>
      <c r="F104" s="66" t="s">
        <v>1013</v>
      </c>
      <c r="G104" s="20" t="s">
        <v>1012</v>
      </c>
      <c r="H104" s="20" t="s">
        <v>7</v>
      </c>
      <c r="I104" s="20" t="s">
        <v>9</v>
      </c>
      <c r="J104" s="50">
        <v>10887</v>
      </c>
      <c r="K104" s="50">
        <v>43122</v>
      </c>
      <c r="L104" s="20" t="s">
        <v>14</v>
      </c>
      <c r="M104" s="20" t="s">
        <v>645</v>
      </c>
      <c r="N104" s="20" t="s">
        <v>1268</v>
      </c>
      <c r="O104" s="20" t="s">
        <v>1268</v>
      </c>
      <c r="P104" s="20"/>
      <c r="Q104" s="20"/>
      <c r="R104" s="20"/>
      <c r="S104" s="20"/>
      <c r="T104" s="20">
        <v>2018</v>
      </c>
      <c r="U104" s="20"/>
      <c r="V104" s="20"/>
      <c r="W104" s="20" t="s">
        <v>21</v>
      </c>
      <c r="X104" s="20" t="s">
        <v>8</v>
      </c>
      <c r="Y104" s="20"/>
      <c r="Z104" s="20"/>
      <c r="AA104" s="20"/>
      <c r="AB104" s="20" t="s">
        <v>1010</v>
      </c>
      <c r="AC104" s="20">
        <v>1087</v>
      </c>
      <c r="AD104" s="20"/>
      <c r="AE104" s="20"/>
      <c r="AF104" s="20"/>
      <c r="AG104" s="20" t="s">
        <v>660</v>
      </c>
      <c r="AH104" s="19">
        <v>25</v>
      </c>
      <c r="AI104" s="20"/>
      <c r="AJ104" s="20"/>
      <c r="AK104" s="20"/>
      <c r="AL104" s="20"/>
      <c r="AM104" s="24"/>
      <c r="AN104" s="59"/>
      <c r="AO104" s="12"/>
      <c r="AP104" s="60"/>
    </row>
    <row r="105" spans="1:42" ht="15.6" x14ac:dyDescent="0.3">
      <c r="A105" s="23"/>
      <c r="B105" s="20" t="s">
        <v>247</v>
      </c>
      <c r="C105" s="20"/>
      <c r="D105" s="20" t="s">
        <v>6</v>
      </c>
      <c r="E105" s="20"/>
      <c r="F105" s="66"/>
      <c r="G105" s="20"/>
      <c r="H105" s="20" t="s">
        <v>7</v>
      </c>
      <c r="I105" s="20" t="s">
        <v>246</v>
      </c>
      <c r="J105" s="50">
        <v>9615</v>
      </c>
      <c r="K105" s="50">
        <v>42419</v>
      </c>
      <c r="L105" s="20" t="s">
        <v>14</v>
      </c>
      <c r="M105" s="20"/>
      <c r="N105" s="20"/>
      <c r="O105" s="20"/>
      <c r="P105" s="20"/>
      <c r="Q105" s="20"/>
      <c r="R105" s="20"/>
      <c r="S105" s="20"/>
      <c r="T105" s="20">
        <v>2019</v>
      </c>
      <c r="U105" s="20"/>
      <c r="V105" s="20"/>
      <c r="W105" s="20" t="s">
        <v>21</v>
      </c>
      <c r="X105" s="20" t="s">
        <v>159</v>
      </c>
      <c r="Y105" s="20"/>
      <c r="Z105" s="20"/>
      <c r="AA105" s="20"/>
      <c r="AB105" s="20"/>
      <c r="AC105" s="20"/>
      <c r="AD105" s="20"/>
      <c r="AE105" s="20"/>
      <c r="AF105" s="20"/>
      <c r="AG105" s="20"/>
      <c r="AH105" s="19"/>
      <c r="AI105" s="20"/>
      <c r="AJ105" s="20"/>
      <c r="AK105" s="20"/>
      <c r="AL105" s="20"/>
      <c r="AM105" s="24"/>
      <c r="AN105" s="59"/>
      <c r="AO105" s="12"/>
      <c r="AP105" s="60"/>
    </row>
    <row r="106" spans="1:42" ht="15.6" x14ac:dyDescent="0.3">
      <c r="A106" s="23"/>
      <c r="B106" s="20" t="s">
        <v>151</v>
      </c>
      <c r="C106" s="20"/>
      <c r="D106" s="20" t="s">
        <v>82</v>
      </c>
      <c r="E106" s="20"/>
      <c r="F106" s="66"/>
      <c r="G106" s="20"/>
      <c r="H106" s="20" t="s">
        <v>21</v>
      </c>
      <c r="I106" s="20" t="s">
        <v>1199</v>
      </c>
      <c r="J106" s="50" t="s">
        <v>202</v>
      </c>
      <c r="K106" s="50" t="s">
        <v>204</v>
      </c>
      <c r="L106" s="20" t="s">
        <v>22</v>
      </c>
      <c r="M106" s="20"/>
      <c r="N106" s="20"/>
      <c r="O106" s="20"/>
      <c r="P106" s="20"/>
      <c r="Q106" s="20"/>
      <c r="R106" s="20"/>
      <c r="S106" s="20"/>
      <c r="T106" s="20">
        <v>2006</v>
      </c>
      <c r="U106" s="20"/>
      <c r="V106" s="20"/>
      <c r="W106" s="20" t="s">
        <v>21</v>
      </c>
      <c r="X106" s="20" t="s">
        <v>150</v>
      </c>
      <c r="Y106" s="20"/>
      <c r="Z106" s="20"/>
      <c r="AA106" s="20"/>
      <c r="AB106" s="20"/>
      <c r="AC106" s="20"/>
      <c r="AD106" s="20"/>
      <c r="AE106" s="20"/>
      <c r="AF106" s="20"/>
      <c r="AG106" s="20"/>
      <c r="AH106" s="19"/>
      <c r="AI106" s="20"/>
      <c r="AJ106" s="20"/>
      <c r="AK106" s="20"/>
      <c r="AL106" s="20"/>
      <c r="AM106" s="24"/>
      <c r="AN106" s="59"/>
      <c r="AO106" s="12"/>
      <c r="AP106" s="60"/>
    </row>
    <row r="107" spans="1:42" ht="15.6" x14ac:dyDescent="0.3">
      <c r="A107" s="23"/>
      <c r="B107" s="20" t="s">
        <v>4</v>
      </c>
      <c r="C107" s="20" t="s">
        <v>1008</v>
      </c>
      <c r="D107" s="20" t="s">
        <v>6</v>
      </c>
      <c r="E107" s="20" t="s">
        <v>81</v>
      </c>
      <c r="F107" s="66" t="s">
        <v>1009</v>
      </c>
      <c r="G107" s="20" t="s">
        <v>1007</v>
      </c>
      <c r="H107" s="20" t="s">
        <v>7</v>
      </c>
      <c r="I107" s="20" t="s">
        <v>5</v>
      </c>
      <c r="J107" s="50" t="s">
        <v>207</v>
      </c>
      <c r="K107" s="50">
        <v>23337</v>
      </c>
      <c r="L107" s="20" t="s">
        <v>13</v>
      </c>
      <c r="M107" s="20" t="s">
        <v>617</v>
      </c>
      <c r="N107" s="20" t="s">
        <v>1268</v>
      </c>
      <c r="O107" s="20" t="s">
        <v>1268</v>
      </c>
      <c r="P107" s="20"/>
      <c r="Q107" s="20"/>
      <c r="R107" s="20"/>
      <c r="S107" s="20"/>
      <c r="T107" s="20">
        <v>2014</v>
      </c>
      <c r="U107" s="20"/>
      <c r="V107" s="20"/>
      <c r="W107" s="20" t="s">
        <v>21</v>
      </c>
      <c r="X107" s="20" t="s">
        <v>8</v>
      </c>
      <c r="Y107" s="20"/>
      <c r="Z107" s="20"/>
      <c r="AA107" s="20"/>
      <c r="AB107" s="20" t="s">
        <v>1006</v>
      </c>
      <c r="AC107" s="20">
        <v>842</v>
      </c>
      <c r="AD107" s="20"/>
      <c r="AE107" s="20"/>
      <c r="AF107" s="20"/>
      <c r="AG107" s="20" t="s">
        <v>660</v>
      </c>
      <c r="AH107" s="19">
        <v>25</v>
      </c>
      <c r="AI107" s="20"/>
      <c r="AJ107" s="20"/>
      <c r="AK107" s="20"/>
      <c r="AL107" s="20"/>
      <c r="AM107" s="24"/>
      <c r="AN107" s="59"/>
      <c r="AO107" s="12"/>
      <c r="AP107" s="60"/>
    </row>
    <row r="108" spans="1:42" ht="15.6" x14ac:dyDescent="0.3">
      <c r="A108" s="23"/>
      <c r="B108" s="20" t="s">
        <v>252</v>
      </c>
      <c r="C108" s="20" t="s">
        <v>252</v>
      </c>
      <c r="D108" s="20" t="s">
        <v>6</v>
      </c>
      <c r="E108" s="20" t="s">
        <v>81</v>
      </c>
      <c r="F108" s="66" t="s">
        <v>977</v>
      </c>
      <c r="G108" s="20">
        <v>1989</v>
      </c>
      <c r="H108" s="20" t="s">
        <v>21</v>
      </c>
      <c r="I108" s="20" t="s">
        <v>250</v>
      </c>
      <c r="J108" s="50">
        <v>8084</v>
      </c>
      <c r="K108" s="50">
        <v>41700</v>
      </c>
      <c r="L108" s="20" t="s">
        <v>22</v>
      </c>
      <c r="M108" s="20" t="s">
        <v>617</v>
      </c>
      <c r="N108" s="20" t="s">
        <v>1268</v>
      </c>
      <c r="O108" s="20" t="s">
        <v>1268</v>
      </c>
      <c r="P108" s="20"/>
      <c r="Q108" s="20"/>
      <c r="R108" s="20"/>
      <c r="S108" s="20"/>
      <c r="T108" s="20">
        <v>2007</v>
      </c>
      <c r="U108" s="20"/>
      <c r="V108" s="20"/>
      <c r="W108" s="20" t="s">
        <v>21</v>
      </c>
      <c r="X108" s="20" t="s">
        <v>251</v>
      </c>
      <c r="Y108" s="20"/>
      <c r="Z108" s="20"/>
      <c r="AA108" s="20"/>
      <c r="AB108" s="20" t="s">
        <v>976</v>
      </c>
      <c r="AC108" s="20">
        <v>117</v>
      </c>
      <c r="AD108" s="20"/>
      <c r="AE108" s="20"/>
      <c r="AF108" s="20"/>
      <c r="AG108" s="20" t="s">
        <v>975</v>
      </c>
      <c r="AH108" s="19">
        <v>7.9</v>
      </c>
      <c r="AI108" s="20"/>
      <c r="AJ108" s="20"/>
      <c r="AK108" s="20"/>
      <c r="AL108" s="20"/>
      <c r="AM108" s="24"/>
      <c r="AN108" s="59"/>
      <c r="AO108" s="12"/>
      <c r="AP108" s="60"/>
    </row>
    <row r="109" spans="1:42" ht="15.6" x14ac:dyDescent="0.3">
      <c r="A109" s="23"/>
      <c r="B109" s="20" t="s">
        <v>337</v>
      </c>
      <c r="C109" s="20" t="s">
        <v>337</v>
      </c>
      <c r="D109" s="20" t="s">
        <v>97</v>
      </c>
      <c r="E109" s="20" t="s">
        <v>98</v>
      </c>
      <c r="F109" s="66" t="s">
        <v>720</v>
      </c>
      <c r="G109" s="20">
        <v>1835</v>
      </c>
      <c r="H109" s="20" t="s">
        <v>341</v>
      </c>
      <c r="I109" s="20" t="s">
        <v>338</v>
      </c>
      <c r="J109" s="50" t="s">
        <v>339</v>
      </c>
      <c r="K109" s="50" t="s">
        <v>340</v>
      </c>
      <c r="L109" s="20" t="s">
        <v>341</v>
      </c>
      <c r="M109" s="20" t="s">
        <v>617</v>
      </c>
      <c r="N109" s="20" t="s">
        <v>1268</v>
      </c>
      <c r="O109" s="20" t="s">
        <v>1268</v>
      </c>
      <c r="P109" s="20"/>
      <c r="Q109" s="20"/>
      <c r="R109" s="20"/>
      <c r="S109" s="20"/>
      <c r="T109" s="20">
        <v>2023</v>
      </c>
      <c r="U109" s="20"/>
      <c r="V109" s="20"/>
      <c r="W109" s="20" t="s">
        <v>21</v>
      </c>
      <c r="X109" s="20" t="s">
        <v>721</v>
      </c>
      <c r="Y109" s="20"/>
      <c r="Z109" s="20"/>
      <c r="AA109" s="20"/>
      <c r="AB109" s="20" t="s">
        <v>722</v>
      </c>
      <c r="AC109" s="20">
        <v>704</v>
      </c>
      <c r="AD109" s="20"/>
      <c r="AE109" s="20"/>
      <c r="AF109" s="20"/>
      <c r="AG109" s="20" t="s">
        <v>719</v>
      </c>
      <c r="AH109" s="19">
        <v>40</v>
      </c>
      <c r="AI109" s="20"/>
      <c r="AJ109" s="20"/>
      <c r="AK109" s="20"/>
      <c r="AL109" s="20"/>
      <c r="AM109" s="24"/>
      <c r="AN109" s="59"/>
      <c r="AO109" s="12"/>
      <c r="AP109" s="60"/>
    </row>
    <row r="110" spans="1:42" ht="15.6" x14ac:dyDescent="0.3">
      <c r="A110" s="23"/>
      <c r="B110" s="20" t="s">
        <v>23</v>
      </c>
      <c r="C110" s="20" t="s">
        <v>969</v>
      </c>
      <c r="D110" s="20" t="s">
        <v>6</v>
      </c>
      <c r="E110" s="20" t="s">
        <v>81</v>
      </c>
      <c r="F110" s="66" t="s">
        <v>970</v>
      </c>
      <c r="G110" s="20">
        <v>1883</v>
      </c>
      <c r="H110" s="20" t="s">
        <v>21</v>
      </c>
      <c r="I110" s="20" t="s">
        <v>1194</v>
      </c>
      <c r="J110" s="50" t="s">
        <v>196</v>
      </c>
      <c r="K110" s="50" t="s">
        <v>197</v>
      </c>
      <c r="L110" s="20" t="s">
        <v>22</v>
      </c>
      <c r="M110" s="20" t="s">
        <v>617</v>
      </c>
      <c r="N110" s="20" t="s">
        <v>1268</v>
      </c>
      <c r="O110" s="20" t="s">
        <v>1268</v>
      </c>
      <c r="P110" s="20"/>
      <c r="Q110" s="20"/>
      <c r="R110" s="20"/>
      <c r="S110" s="20"/>
      <c r="T110" s="20">
        <v>2013</v>
      </c>
      <c r="U110" s="20"/>
      <c r="V110" s="20"/>
      <c r="W110" s="20" t="s">
        <v>21</v>
      </c>
      <c r="X110" s="20" t="s">
        <v>20</v>
      </c>
      <c r="Y110" s="20"/>
      <c r="Z110" s="20"/>
      <c r="AA110" s="20"/>
      <c r="AB110" s="20" t="s">
        <v>968</v>
      </c>
      <c r="AC110" s="20">
        <v>285</v>
      </c>
      <c r="AD110" s="20"/>
      <c r="AE110" s="20"/>
      <c r="AF110" s="20"/>
      <c r="AG110" s="20" t="s">
        <v>967</v>
      </c>
      <c r="AH110" s="19">
        <v>3.9</v>
      </c>
      <c r="AI110" s="20"/>
      <c r="AJ110" s="20"/>
      <c r="AK110" s="20"/>
      <c r="AL110" s="20"/>
      <c r="AM110" s="24"/>
      <c r="AN110" s="59"/>
      <c r="AO110" s="12"/>
      <c r="AP110" s="60"/>
    </row>
    <row r="111" spans="1:42" ht="15.6" x14ac:dyDescent="0.3">
      <c r="A111" s="23"/>
      <c r="B111" s="20" t="s">
        <v>261</v>
      </c>
      <c r="C111" s="20"/>
      <c r="D111" s="20" t="s">
        <v>6</v>
      </c>
      <c r="E111" s="20"/>
      <c r="F111" s="66"/>
      <c r="G111" s="20"/>
      <c r="H111" s="20" t="s">
        <v>7</v>
      </c>
      <c r="I111" s="20" t="s">
        <v>260</v>
      </c>
      <c r="J111" s="50" t="s">
        <v>262</v>
      </c>
      <c r="K111" s="50">
        <v>13589</v>
      </c>
      <c r="L111" s="20" t="s">
        <v>14</v>
      </c>
      <c r="M111" s="20"/>
      <c r="N111" s="20"/>
      <c r="O111" s="20"/>
      <c r="P111" s="20"/>
      <c r="Q111" s="20"/>
      <c r="R111" s="20"/>
      <c r="S111" s="20"/>
      <c r="T111" s="20">
        <v>2020</v>
      </c>
      <c r="U111" s="20"/>
      <c r="V111" s="20"/>
      <c r="W111" s="20" t="s">
        <v>21</v>
      </c>
      <c r="X111" s="20" t="s">
        <v>20</v>
      </c>
      <c r="Y111" s="20"/>
      <c r="Z111" s="20"/>
      <c r="AA111" s="20"/>
      <c r="AB111" s="20"/>
      <c r="AC111" s="20"/>
      <c r="AD111" s="20"/>
      <c r="AE111" s="20"/>
      <c r="AF111" s="20"/>
      <c r="AG111" s="20"/>
      <c r="AH111" s="19"/>
      <c r="AI111" s="20"/>
      <c r="AJ111" s="20"/>
      <c r="AK111" s="20"/>
      <c r="AL111" s="20"/>
      <c r="AM111" s="24"/>
      <c r="AN111" s="59"/>
      <c r="AO111" s="12"/>
      <c r="AP111" s="60"/>
    </row>
    <row r="112" spans="1:42" ht="15.6" x14ac:dyDescent="0.3">
      <c r="A112" s="23"/>
      <c r="B112" s="20" t="s">
        <v>350</v>
      </c>
      <c r="C112" s="20"/>
      <c r="D112" s="20" t="s">
        <v>6</v>
      </c>
      <c r="E112" s="20"/>
      <c r="F112" s="66"/>
      <c r="G112" s="20"/>
      <c r="H112" s="20" t="s">
        <v>7</v>
      </c>
      <c r="I112" s="20" t="s">
        <v>348</v>
      </c>
      <c r="J112" s="50">
        <v>10007</v>
      </c>
      <c r="K112" s="50">
        <v>36962</v>
      </c>
      <c r="L112" s="20" t="s">
        <v>14</v>
      </c>
      <c r="M112" s="20"/>
      <c r="N112" s="20"/>
      <c r="O112" s="20"/>
      <c r="P112" s="20"/>
      <c r="Q112" s="20"/>
      <c r="R112" s="20"/>
      <c r="S112" s="20"/>
      <c r="T112" s="20">
        <v>2012</v>
      </c>
      <c r="U112" s="20"/>
      <c r="V112" s="20"/>
      <c r="W112" s="20" t="s">
        <v>21</v>
      </c>
      <c r="X112" s="20" t="s">
        <v>11</v>
      </c>
      <c r="Y112" s="20"/>
      <c r="Z112" s="20"/>
      <c r="AA112" s="20"/>
      <c r="AB112" s="20"/>
      <c r="AC112" s="20"/>
      <c r="AD112" s="20"/>
      <c r="AE112" s="20"/>
      <c r="AF112" s="20"/>
      <c r="AG112" s="20"/>
      <c r="AH112" s="19"/>
      <c r="AI112" s="20"/>
      <c r="AJ112" s="20"/>
      <c r="AK112" s="20"/>
      <c r="AL112" s="20"/>
      <c r="AM112" s="24"/>
      <c r="AN112" s="59"/>
      <c r="AO112" s="12"/>
      <c r="AP112" s="60"/>
    </row>
    <row r="113" spans="1:42" ht="15.6" x14ac:dyDescent="0.3">
      <c r="A113" s="23"/>
      <c r="B113" s="20" t="s">
        <v>351</v>
      </c>
      <c r="C113" s="20"/>
      <c r="D113" s="20" t="s">
        <v>6</v>
      </c>
      <c r="E113" s="20"/>
      <c r="F113" s="66"/>
      <c r="G113" s="20"/>
      <c r="H113" s="20" t="s">
        <v>7</v>
      </c>
      <c r="I113" s="20" t="s">
        <v>348</v>
      </c>
      <c r="J113" s="50">
        <v>10007</v>
      </c>
      <c r="K113" s="50">
        <v>36962</v>
      </c>
      <c r="L113" s="20" t="s">
        <v>14</v>
      </c>
      <c r="M113" s="20"/>
      <c r="N113" s="20"/>
      <c r="O113" s="20"/>
      <c r="P113" s="20"/>
      <c r="Q113" s="20"/>
      <c r="R113" s="20"/>
      <c r="S113" s="20"/>
      <c r="T113" s="20">
        <v>2012</v>
      </c>
      <c r="U113" s="20"/>
      <c r="V113" s="20"/>
      <c r="W113" s="20" t="s">
        <v>21</v>
      </c>
      <c r="X113" s="20" t="s">
        <v>11</v>
      </c>
      <c r="Y113" s="20"/>
      <c r="Z113" s="20"/>
      <c r="AA113" s="20"/>
      <c r="AB113" s="20"/>
      <c r="AC113" s="20"/>
      <c r="AD113" s="20"/>
      <c r="AE113" s="20"/>
      <c r="AF113" s="20"/>
      <c r="AG113" s="20"/>
      <c r="AH113" s="19"/>
      <c r="AI113" s="20"/>
      <c r="AJ113" s="20"/>
      <c r="AK113" s="20"/>
      <c r="AL113" s="20"/>
      <c r="AM113" s="24"/>
      <c r="AN113" s="59"/>
      <c r="AO113" s="12"/>
      <c r="AP113" s="60"/>
    </row>
    <row r="114" spans="1:42" ht="15.6" x14ac:dyDescent="0.3">
      <c r="A114" s="23"/>
      <c r="B114" s="20" t="s">
        <v>349</v>
      </c>
      <c r="C114" s="20"/>
      <c r="D114" s="20" t="s">
        <v>6</v>
      </c>
      <c r="E114" s="20"/>
      <c r="F114" s="66"/>
      <c r="G114" s="20"/>
      <c r="H114" s="20" t="s">
        <v>7</v>
      </c>
      <c r="I114" s="20" t="s">
        <v>348</v>
      </c>
      <c r="J114" s="50">
        <v>10007</v>
      </c>
      <c r="K114" s="50">
        <v>36962</v>
      </c>
      <c r="L114" s="20" t="s">
        <v>14</v>
      </c>
      <c r="M114" s="20"/>
      <c r="N114" s="20"/>
      <c r="O114" s="20"/>
      <c r="P114" s="20"/>
      <c r="Q114" s="20"/>
      <c r="R114" s="20"/>
      <c r="S114" s="20"/>
      <c r="T114" s="20">
        <v>2012</v>
      </c>
      <c r="U114" s="20"/>
      <c r="V114" s="20"/>
      <c r="W114" s="20" t="s">
        <v>21</v>
      </c>
      <c r="X114" s="20" t="s">
        <v>11</v>
      </c>
      <c r="Y114" s="20"/>
      <c r="Z114" s="20"/>
      <c r="AA114" s="20"/>
      <c r="AB114" s="20"/>
      <c r="AC114" s="20"/>
      <c r="AD114" s="20"/>
      <c r="AE114" s="20"/>
      <c r="AF114" s="20"/>
      <c r="AG114" s="20"/>
      <c r="AH114" s="19"/>
      <c r="AI114" s="20"/>
      <c r="AJ114" s="20"/>
      <c r="AK114" s="20"/>
      <c r="AL114" s="20"/>
      <c r="AM114" s="24"/>
      <c r="AN114" s="59"/>
      <c r="AO114" s="12"/>
      <c r="AP114" s="60"/>
    </row>
    <row r="115" spans="1:42" ht="15.6" x14ac:dyDescent="0.3">
      <c r="A115" s="23"/>
      <c r="B115" s="20" t="s">
        <v>227</v>
      </c>
      <c r="C115" s="20"/>
      <c r="D115" s="20" t="s">
        <v>6</v>
      </c>
      <c r="E115" s="20"/>
      <c r="F115" s="66"/>
      <c r="G115" s="20"/>
      <c r="H115" s="20" t="s">
        <v>7</v>
      </c>
      <c r="I115" s="20" t="s">
        <v>229</v>
      </c>
      <c r="J115" s="50" t="s">
        <v>230</v>
      </c>
      <c r="K115" s="50" t="s">
        <v>231</v>
      </c>
      <c r="L115" s="20" t="s">
        <v>233</v>
      </c>
      <c r="M115" s="20"/>
      <c r="N115" s="20"/>
      <c r="O115" s="20"/>
      <c r="P115" s="20"/>
      <c r="Q115" s="20"/>
      <c r="R115" s="20"/>
      <c r="S115" s="20"/>
      <c r="T115" s="20">
        <v>2018</v>
      </c>
      <c r="U115" s="20"/>
      <c r="V115" s="20"/>
      <c r="W115" s="20" t="s">
        <v>21</v>
      </c>
      <c r="X115" s="20" t="s">
        <v>232</v>
      </c>
      <c r="Y115" s="20"/>
      <c r="Z115" s="20"/>
      <c r="AA115" s="20"/>
      <c r="AB115" s="20"/>
      <c r="AC115" s="20"/>
      <c r="AD115" s="20"/>
      <c r="AE115" s="20"/>
      <c r="AF115" s="20"/>
      <c r="AG115" s="20"/>
      <c r="AH115" s="19"/>
      <c r="AI115" s="20"/>
      <c r="AJ115" s="20"/>
      <c r="AK115" s="20"/>
      <c r="AL115" s="20"/>
      <c r="AM115" s="24"/>
      <c r="AN115" s="59"/>
      <c r="AO115" s="12"/>
      <c r="AP115" s="60"/>
    </row>
    <row r="116" spans="1:42" ht="31.2" x14ac:dyDescent="0.3">
      <c r="A116" s="23"/>
      <c r="B116" s="20" t="s">
        <v>713</v>
      </c>
      <c r="C116" s="20" t="s">
        <v>714</v>
      </c>
      <c r="D116" s="20" t="s">
        <v>6</v>
      </c>
      <c r="E116" s="20" t="s">
        <v>81</v>
      </c>
      <c r="F116" s="66" t="s">
        <v>718</v>
      </c>
      <c r="G116" s="20" t="s">
        <v>715</v>
      </c>
      <c r="H116" s="20" t="s">
        <v>49</v>
      </c>
      <c r="I116" s="20" t="s">
        <v>331</v>
      </c>
      <c r="J116" s="50" t="s">
        <v>332</v>
      </c>
      <c r="K116" s="50">
        <v>20313</v>
      </c>
      <c r="L116" s="20" t="s">
        <v>46</v>
      </c>
      <c r="M116" s="20" t="s">
        <v>617</v>
      </c>
      <c r="N116" s="20" t="s">
        <v>707</v>
      </c>
      <c r="O116" s="20" t="s">
        <v>1268</v>
      </c>
      <c r="P116" s="20"/>
      <c r="Q116" s="20"/>
      <c r="R116" s="20"/>
      <c r="S116" s="20"/>
      <c r="T116" s="20">
        <v>2021</v>
      </c>
      <c r="U116" s="20"/>
      <c r="V116" s="20"/>
      <c r="W116" s="20" t="s">
        <v>21</v>
      </c>
      <c r="X116" s="20" t="s">
        <v>8</v>
      </c>
      <c r="Y116" s="20"/>
      <c r="Z116" s="20"/>
      <c r="AA116" s="20"/>
      <c r="AB116" s="20" t="s">
        <v>717</v>
      </c>
      <c r="AC116" s="20">
        <v>1128</v>
      </c>
      <c r="AD116" s="20"/>
      <c r="AE116" s="20"/>
      <c r="AF116" s="20"/>
      <c r="AG116" s="20" t="s">
        <v>716</v>
      </c>
      <c r="AH116" s="19">
        <v>24</v>
      </c>
      <c r="AI116" s="20"/>
      <c r="AJ116" s="20"/>
      <c r="AK116" s="20"/>
      <c r="AL116" s="20"/>
      <c r="AM116" s="24"/>
      <c r="AN116" s="59"/>
      <c r="AO116" s="12"/>
      <c r="AP116" s="60"/>
    </row>
    <row r="117" spans="1:42" ht="31.2" x14ac:dyDescent="0.3">
      <c r="A117" s="23"/>
      <c r="B117" s="20" t="s">
        <v>710</v>
      </c>
      <c r="C117" s="20" t="s">
        <v>711</v>
      </c>
      <c r="D117" s="20" t="s">
        <v>6</v>
      </c>
      <c r="E117" s="20" t="s">
        <v>81</v>
      </c>
      <c r="F117" s="66" t="s">
        <v>712</v>
      </c>
      <c r="G117" s="20">
        <v>1901</v>
      </c>
      <c r="H117" s="20" t="s">
        <v>49</v>
      </c>
      <c r="I117" s="20" t="s">
        <v>331</v>
      </c>
      <c r="J117" s="50" t="s">
        <v>332</v>
      </c>
      <c r="K117" s="50">
        <v>20313</v>
      </c>
      <c r="L117" s="20" t="s">
        <v>46</v>
      </c>
      <c r="M117" s="20" t="s">
        <v>617</v>
      </c>
      <c r="N117" s="20" t="s">
        <v>707</v>
      </c>
      <c r="O117" s="20" t="s">
        <v>1268</v>
      </c>
      <c r="P117" s="20"/>
      <c r="Q117" s="20"/>
      <c r="R117" s="20"/>
      <c r="S117" s="20"/>
      <c r="T117" s="20">
        <v>2016</v>
      </c>
      <c r="U117" s="20"/>
      <c r="V117" s="20"/>
      <c r="W117" s="20" t="s">
        <v>21</v>
      </c>
      <c r="X117" s="20" t="s">
        <v>8</v>
      </c>
      <c r="Y117" s="20"/>
      <c r="Z117" s="20"/>
      <c r="AA117" s="20"/>
      <c r="AB117" s="20" t="s">
        <v>709</v>
      </c>
      <c r="AC117" s="20">
        <v>713</v>
      </c>
      <c r="AD117" s="20"/>
      <c r="AE117" s="20"/>
      <c r="AF117" s="20"/>
      <c r="AG117" s="20" t="s">
        <v>633</v>
      </c>
      <c r="AH117" s="19">
        <v>16</v>
      </c>
      <c r="AI117" s="20"/>
      <c r="AJ117" s="20"/>
      <c r="AK117" s="20"/>
      <c r="AL117" s="20"/>
      <c r="AM117" s="24"/>
      <c r="AN117" s="59"/>
      <c r="AO117" s="12"/>
      <c r="AP117" s="60"/>
    </row>
    <row r="118" spans="1:42" ht="15.6" x14ac:dyDescent="0.3">
      <c r="A118" s="23"/>
      <c r="B118" s="20" t="s">
        <v>334</v>
      </c>
      <c r="C118" s="20" t="s">
        <v>706</v>
      </c>
      <c r="D118" s="20" t="s">
        <v>6</v>
      </c>
      <c r="E118" s="20" t="s">
        <v>81</v>
      </c>
      <c r="F118" s="66" t="s">
        <v>708</v>
      </c>
      <c r="G118" s="20">
        <v>1924</v>
      </c>
      <c r="H118" s="20" t="s">
        <v>49</v>
      </c>
      <c r="I118" s="20" t="s">
        <v>331</v>
      </c>
      <c r="J118" s="50" t="s">
        <v>332</v>
      </c>
      <c r="K118" s="50">
        <v>20313</v>
      </c>
      <c r="L118" s="20" t="s">
        <v>46</v>
      </c>
      <c r="M118" s="20" t="s">
        <v>617</v>
      </c>
      <c r="N118" s="20" t="s">
        <v>707</v>
      </c>
      <c r="O118" s="20" t="s">
        <v>1268</v>
      </c>
      <c r="P118" s="20"/>
      <c r="Q118" s="20"/>
      <c r="R118" s="20"/>
      <c r="S118" s="20"/>
      <c r="T118" s="20">
        <v>1945</v>
      </c>
      <c r="U118" s="20"/>
      <c r="V118" s="20"/>
      <c r="W118" s="20" t="s">
        <v>21</v>
      </c>
      <c r="X118" s="20" t="s">
        <v>333</v>
      </c>
      <c r="Y118" s="20"/>
      <c r="Z118" s="20"/>
      <c r="AA118" s="20"/>
      <c r="AB118" s="20"/>
      <c r="AC118" s="20">
        <v>803</v>
      </c>
      <c r="AD118" s="20"/>
      <c r="AE118" s="20"/>
      <c r="AF118" s="20"/>
      <c r="AG118" s="20"/>
      <c r="AH118" s="19"/>
      <c r="AI118" s="20"/>
      <c r="AJ118" s="20"/>
      <c r="AK118" s="20"/>
      <c r="AL118" s="20"/>
      <c r="AM118" s="24"/>
      <c r="AN118" s="59"/>
      <c r="AO118" s="12"/>
      <c r="AP118" s="60"/>
    </row>
    <row r="119" spans="1:42" ht="15.6" x14ac:dyDescent="0.3">
      <c r="A119" s="23"/>
      <c r="B119" s="20" t="s">
        <v>353</v>
      </c>
      <c r="C119" s="20"/>
      <c r="D119" s="20" t="s">
        <v>6</v>
      </c>
      <c r="E119" s="20"/>
      <c r="F119" s="66"/>
      <c r="G119" s="20"/>
      <c r="H119" s="20" t="s">
        <v>7</v>
      </c>
      <c r="I119" s="20" t="s">
        <v>352</v>
      </c>
      <c r="J119" s="50">
        <v>9548</v>
      </c>
      <c r="K119" s="50">
        <v>41448</v>
      </c>
      <c r="L119" s="20" t="s">
        <v>14</v>
      </c>
      <c r="M119" s="20"/>
      <c r="N119" s="20"/>
      <c r="O119" s="20"/>
      <c r="P119" s="20"/>
      <c r="Q119" s="20"/>
      <c r="R119" s="20"/>
      <c r="S119" s="20"/>
      <c r="T119" s="20">
        <v>2018</v>
      </c>
      <c r="U119" s="20"/>
      <c r="V119" s="20"/>
      <c r="W119" s="20" t="s">
        <v>21</v>
      </c>
      <c r="X119" s="20" t="s">
        <v>20</v>
      </c>
      <c r="Y119" s="20"/>
      <c r="Z119" s="20"/>
      <c r="AA119" s="20"/>
      <c r="AB119" s="20"/>
      <c r="AC119" s="20"/>
      <c r="AD119" s="20" t="s">
        <v>1435</v>
      </c>
      <c r="AE119" s="20"/>
      <c r="AF119" s="20"/>
      <c r="AG119" s="20"/>
      <c r="AH119" s="19"/>
      <c r="AI119" s="20"/>
      <c r="AJ119" s="20"/>
      <c r="AK119" s="20"/>
      <c r="AL119" s="20"/>
      <c r="AM119" s="24"/>
      <c r="AN119" s="59"/>
      <c r="AO119" s="12"/>
      <c r="AP119" s="60"/>
    </row>
    <row r="120" spans="1:42" ht="15.6" x14ac:dyDescent="0.3">
      <c r="A120" s="23"/>
      <c r="B120" s="20" t="s">
        <v>354</v>
      </c>
      <c r="C120" s="20"/>
      <c r="D120" s="20" t="s">
        <v>6</v>
      </c>
      <c r="E120" s="20"/>
      <c r="F120" s="66"/>
      <c r="G120" s="20"/>
      <c r="H120" s="20" t="s">
        <v>7</v>
      </c>
      <c r="I120" s="20" t="s">
        <v>352</v>
      </c>
      <c r="J120" s="50">
        <v>9548</v>
      </c>
      <c r="K120" s="50">
        <v>41448</v>
      </c>
      <c r="L120" s="20" t="s">
        <v>14</v>
      </c>
      <c r="M120" s="20"/>
      <c r="N120" s="20"/>
      <c r="O120" s="20"/>
      <c r="P120" s="20"/>
      <c r="Q120" s="20"/>
      <c r="R120" s="20"/>
      <c r="S120" s="20"/>
      <c r="T120" s="20">
        <v>2018</v>
      </c>
      <c r="U120" s="20"/>
      <c r="V120" s="20"/>
      <c r="W120" s="20" t="s">
        <v>21</v>
      </c>
      <c r="X120" s="20" t="s">
        <v>20</v>
      </c>
      <c r="Y120" s="20"/>
      <c r="Z120" s="20"/>
      <c r="AA120" s="20"/>
      <c r="AB120" s="20"/>
      <c r="AC120" s="20"/>
      <c r="AD120" s="20" t="s">
        <v>1436</v>
      </c>
      <c r="AE120" s="20"/>
      <c r="AF120" s="20"/>
      <c r="AG120" s="20"/>
      <c r="AH120" s="19"/>
      <c r="AI120" s="20"/>
      <c r="AJ120" s="20"/>
      <c r="AK120" s="20"/>
      <c r="AL120" s="20"/>
      <c r="AM120" s="24"/>
      <c r="AN120" s="59"/>
      <c r="AO120" s="12"/>
      <c r="AP120" s="60"/>
    </row>
    <row r="121" spans="1:42" ht="15.6" x14ac:dyDescent="0.3">
      <c r="A121" s="23"/>
      <c r="B121" s="20" t="s">
        <v>355</v>
      </c>
      <c r="C121" s="20"/>
      <c r="D121" s="20" t="s">
        <v>6</v>
      </c>
      <c r="E121" s="20"/>
      <c r="F121" s="66"/>
      <c r="G121" s="20"/>
      <c r="H121" s="20" t="s">
        <v>7</v>
      </c>
      <c r="I121" s="20" t="s">
        <v>352</v>
      </c>
      <c r="J121" s="50">
        <v>9548</v>
      </c>
      <c r="K121" s="50">
        <v>41448</v>
      </c>
      <c r="L121" s="20" t="s">
        <v>14</v>
      </c>
      <c r="M121" s="20"/>
      <c r="N121" s="20"/>
      <c r="O121" s="20"/>
      <c r="P121" s="20"/>
      <c r="Q121" s="20"/>
      <c r="R121" s="20"/>
      <c r="S121" s="20"/>
      <c r="T121" s="20">
        <v>2019</v>
      </c>
      <c r="U121" s="20"/>
      <c r="V121" s="20"/>
      <c r="W121" s="20" t="s">
        <v>21</v>
      </c>
      <c r="X121" s="20" t="s">
        <v>20</v>
      </c>
      <c r="Y121" s="20"/>
      <c r="Z121" s="20"/>
      <c r="AA121" s="20"/>
      <c r="AB121" s="20"/>
      <c r="AC121" s="20"/>
      <c r="AD121" s="20" t="s">
        <v>1437</v>
      </c>
      <c r="AE121" s="20"/>
      <c r="AF121" s="20"/>
      <c r="AG121" s="20"/>
      <c r="AH121" s="19"/>
      <c r="AI121" s="20"/>
      <c r="AJ121" s="20"/>
      <c r="AK121" s="20"/>
      <c r="AL121" s="20"/>
      <c r="AM121" s="24"/>
      <c r="AN121" s="59"/>
      <c r="AO121" s="12"/>
      <c r="AP121" s="60"/>
    </row>
    <row r="122" spans="1:42" ht="15.6" x14ac:dyDescent="0.3">
      <c r="A122" s="23"/>
      <c r="B122" s="20" t="s">
        <v>356</v>
      </c>
      <c r="C122" s="20"/>
      <c r="D122" s="20" t="s">
        <v>6</v>
      </c>
      <c r="E122" s="20"/>
      <c r="F122" s="66"/>
      <c r="G122" s="20"/>
      <c r="H122" s="20" t="s">
        <v>7</v>
      </c>
      <c r="I122" s="20" t="s">
        <v>352</v>
      </c>
      <c r="J122" s="50">
        <v>9548</v>
      </c>
      <c r="K122" s="50">
        <v>41448</v>
      </c>
      <c r="L122" s="20" t="s">
        <v>14</v>
      </c>
      <c r="M122" s="20"/>
      <c r="N122" s="20"/>
      <c r="O122" s="20"/>
      <c r="P122" s="20"/>
      <c r="Q122" s="20"/>
      <c r="R122" s="20"/>
      <c r="S122" s="20"/>
      <c r="T122" s="20">
        <v>2019</v>
      </c>
      <c r="U122" s="20"/>
      <c r="V122" s="20"/>
      <c r="W122" s="20" t="s">
        <v>21</v>
      </c>
      <c r="X122" s="20" t="s">
        <v>20</v>
      </c>
      <c r="Y122" s="20"/>
      <c r="Z122" s="20"/>
      <c r="AA122" s="20"/>
      <c r="AB122" s="20"/>
      <c r="AC122" s="20"/>
      <c r="AD122" s="20" t="s">
        <v>1438</v>
      </c>
      <c r="AE122" s="20"/>
      <c r="AF122" s="20"/>
      <c r="AG122" s="20"/>
      <c r="AH122" s="19"/>
      <c r="AI122" s="20"/>
      <c r="AJ122" s="20"/>
      <c r="AK122" s="20"/>
      <c r="AL122" s="20"/>
      <c r="AM122" s="24"/>
      <c r="AN122" s="59"/>
      <c r="AO122" s="12"/>
      <c r="AP122" s="60"/>
    </row>
    <row r="123" spans="1:42" ht="15.6" x14ac:dyDescent="0.3">
      <c r="A123" s="23"/>
      <c r="B123" s="20" t="s">
        <v>357</v>
      </c>
      <c r="C123" s="20"/>
      <c r="D123" s="20" t="s">
        <v>6</v>
      </c>
      <c r="E123" s="20"/>
      <c r="F123" s="66"/>
      <c r="G123" s="20"/>
      <c r="H123" s="20" t="s">
        <v>7</v>
      </c>
      <c r="I123" s="20" t="s">
        <v>352</v>
      </c>
      <c r="J123" s="50">
        <v>9548</v>
      </c>
      <c r="K123" s="50">
        <v>41448</v>
      </c>
      <c r="L123" s="20" t="s">
        <v>14</v>
      </c>
      <c r="M123" s="20"/>
      <c r="N123" s="20"/>
      <c r="O123" s="20"/>
      <c r="P123" s="20"/>
      <c r="Q123" s="20"/>
      <c r="R123" s="20"/>
      <c r="S123" s="20"/>
      <c r="T123" s="20">
        <v>2017</v>
      </c>
      <c r="U123" s="20"/>
      <c r="V123" s="20"/>
      <c r="W123" s="20" t="s">
        <v>21</v>
      </c>
      <c r="X123" s="20" t="s">
        <v>20</v>
      </c>
      <c r="Y123" s="20"/>
      <c r="Z123" s="20"/>
      <c r="AA123" s="20"/>
      <c r="AB123" s="20"/>
      <c r="AC123" s="20"/>
      <c r="AD123" s="20"/>
      <c r="AE123" s="20"/>
      <c r="AF123" s="20"/>
      <c r="AG123" s="20"/>
      <c r="AH123" s="19"/>
      <c r="AI123" s="20"/>
      <c r="AJ123" s="20"/>
      <c r="AK123" s="20"/>
      <c r="AL123" s="20"/>
      <c r="AM123" s="24"/>
      <c r="AN123" s="59"/>
      <c r="AO123" s="12"/>
      <c r="AP123" s="60"/>
    </row>
    <row r="124" spans="1:42" ht="15.6" x14ac:dyDescent="0.3">
      <c r="A124" s="23"/>
      <c r="B124" s="20" t="s">
        <v>301</v>
      </c>
      <c r="C124" s="20"/>
      <c r="D124" s="20" t="s">
        <v>6</v>
      </c>
      <c r="E124" s="20"/>
      <c r="F124" s="66"/>
      <c r="G124" s="20"/>
      <c r="H124" s="20" t="s">
        <v>7</v>
      </c>
      <c r="I124" s="20" t="s">
        <v>302</v>
      </c>
      <c r="J124" s="50" t="s">
        <v>303</v>
      </c>
      <c r="K124" s="50" t="s">
        <v>304</v>
      </c>
      <c r="L124" s="20" t="s">
        <v>182</v>
      </c>
      <c r="M124" s="20"/>
      <c r="N124" s="20"/>
      <c r="O124" s="20"/>
      <c r="P124" s="20"/>
      <c r="Q124" s="20"/>
      <c r="R124" s="20"/>
      <c r="S124" s="20"/>
      <c r="T124" s="20">
        <v>1987</v>
      </c>
      <c r="U124" s="20"/>
      <c r="V124" s="20"/>
      <c r="W124" s="20" t="s">
        <v>21</v>
      </c>
      <c r="X124" s="20" t="s">
        <v>269</v>
      </c>
      <c r="Y124" s="20"/>
      <c r="Z124" s="20"/>
      <c r="AA124" s="20"/>
      <c r="AB124" s="20"/>
      <c r="AC124" s="20"/>
      <c r="AD124" s="20"/>
      <c r="AE124" s="20"/>
      <c r="AF124" s="20"/>
      <c r="AG124" s="20"/>
      <c r="AH124" s="19"/>
      <c r="AI124" s="20"/>
      <c r="AJ124" s="20"/>
      <c r="AK124" s="20"/>
      <c r="AL124" s="20"/>
      <c r="AM124" s="24"/>
      <c r="AN124" s="59"/>
      <c r="AO124" s="12"/>
      <c r="AP124" s="60"/>
    </row>
    <row r="125" spans="1:42" ht="15.6" x14ac:dyDescent="0.3">
      <c r="A125" s="23"/>
      <c r="B125" s="20" t="s">
        <v>180</v>
      </c>
      <c r="C125" s="20"/>
      <c r="D125" s="20" t="s">
        <v>6</v>
      </c>
      <c r="E125" s="20"/>
      <c r="F125" s="66"/>
      <c r="G125" s="20"/>
      <c r="H125" s="20" t="s">
        <v>7</v>
      </c>
      <c r="I125" s="20" t="s">
        <v>181</v>
      </c>
      <c r="J125" s="50">
        <v>27022</v>
      </c>
      <c r="K125" s="50" t="s">
        <v>204</v>
      </c>
      <c r="L125" s="20" t="s">
        <v>14</v>
      </c>
      <c r="M125" s="20"/>
      <c r="N125" s="20"/>
      <c r="O125" s="20"/>
      <c r="P125" s="20"/>
      <c r="Q125" s="20"/>
      <c r="R125" s="20"/>
      <c r="S125" s="20"/>
      <c r="T125" s="20">
        <v>2013</v>
      </c>
      <c r="U125" s="20"/>
      <c r="V125" s="20"/>
      <c r="W125" s="20" t="s">
        <v>21</v>
      </c>
      <c r="X125" s="20" t="s">
        <v>166</v>
      </c>
      <c r="Y125" s="20"/>
      <c r="Z125" s="20"/>
      <c r="AA125" s="20"/>
      <c r="AB125" s="20"/>
      <c r="AC125" s="20"/>
      <c r="AD125" s="20"/>
      <c r="AE125" s="20"/>
      <c r="AF125" s="20"/>
      <c r="AG125" s="20"/>
      <c r="AH125" s="19"/>
      <c r="AI125" s="20"/>
      <c r="AJ125" s="20"/>
      <c r="AK125" s="20"/>
      <c r="AL125" s="20"/>
      <c r="AM125" s="24"/>
      <c r="AN125" s="59"/>
      <c r="AO125" s="12"/>
      <c r="AP125" s="60"/>
    </row>
    <row r="126" spans="1:42" ht="15.6" x14ac:dyDescent="0.3">
      <c r="A126" s="23"/>
      <c r="B126" s="20" t="s">
        <v>398</v>
      </c>
      <c r="C126" s="20"/>
      <c r="D126" s="20" t="s">
        <v>97</v>
      </c>
      <c r="E126" s="20"/>
      <c r="F126" s="66"/>
      <c r="G126" s="20"/>
      <c r="H126" s="20" t="s">
        <v>7</v>
      </c>
      <c r="I126" s="20" t="s">
        <v>397</v>
      </c>
      <c r="J126" s="50" t="s">
        <v>399</v>
      </c>
      <c r="K126" s="50" t="s">
        <v>400</v>
      </c>
      <c r="L126" s="20" t="s">
        <v>13</v>
      </c>
      <c r="M126" s="20"/>
      <c r="N126" s="20"/>
      <c r="O126" s="20"/>
      <c r="P126" s="20"/>
      <c r="Q126" s="20"/>
      <c r="R126" s="20"/>
      <c r="S126" s="20"/>
      <c r="T126" s="20">
        <v>2013</v>
      </c>
      <c r="U126" s="20"/>
      <c r="V126" s="20"/>
      <c r="W126" s="20" t="s">
        <v>21</v>
      </c>
      <c r="X126" s="20" t="s">
        <v>8</v>
      </c>
      <c r="Y126" s="20"/>
      <c r="Z126" s="20"/>
      <c r="AA126" s="20"/>
      <c r="AB126" s="20"/>
      <c r="AC126" s="20"/>
      <c r="AD126" s="20"/>
      <c r="AE126" s="20"/>
      <c r="AF126" s="20"/>
      <c r="AG126" s="20"/>
      <c r="AH126" s="19"/>
      <c r="AI126" s="20"/>
      <c r="AJ126" s="20"/>
      <c r="AK126" s="20"/>
      <c r="AL126" s="20"/>
      <c r="AM126" s="24"/>
      <c r="AN126" s="59"/>
      <c r="AO126" s="12"/>
      <c r="AP126" s="60"/>
    </row>
    <row r="127" spans="1:42" ht="15.6" x14ac:dyDescent="0.3">
      <c r="A127" s="11"/>
      <c r="B127" s="12" t="s">
        <v>1297</v>
      </c>
      <c r="C127" s="12" t="s">
        <v>971</v>
      </c>
      <c r="D127" s="12" t="s">
        <v>6</v>
      </c>
      <c r="E127" s="12" t="s">
        <v>81</v>
      </c>
      <c r="F127" s="65" t="s">
        <v>972</v>
      </c>
      <c r="G127" s="12">
        <v>1906</v>
      </c>
      <c r="H127" s="12" t="s">
        <v>188</v>
      </c>
      <c r="I127" s="12" t="s">
        <v>366</v>
      </c>
      <c r="J127" s="49" t="s">
        <v>212</v>
      </c>
      <c r="K127" s="49">
        <v>19086</v>
      </c>
      <c r="L127" s="12" t="s">
        <v>188</v>
      </c>
      <c r="M127" s="12" t="s">
        <v>617</v>
      </c>
      <c r="N127" s="12" t="s">
        <v>1268</v>
      </c>
      <c r="O127" s="12" t="s">
        <v>1268</v>
      </c>
      <c r="P127" s="12"/>
      <c r="Q127" s="12" t="s">
        <v>1298</v>
      </c>
      <c r="R127" s="12"/>
      <c r="S127" s="12"/>
      <c r="T127" s="12">
        <v>2020</v>
      </c>
      <c r="U127" s="12">
        <v>2020</v>
      </c>
      <c r="V127" s="12"/>
      <c r="W127" s="12" t="s">
        <v>21</v>
      </c>
      <c r="X127" s="12" t="s">
        <v>20</v>
      </c>
      <c r="Y127" s="12" t="s">
        <v>1300</v>
      </c>
      <c r="Z127" s="12"/>
      <c r="AA127" s="12"/>
      <c r="AB127" s="12" t="s">
        <v>1301</v>
      </c>
      <c r="AC127" s="12">
        <v>237</v>
      </c>
      <c r="AD127" s="12"/>
      <c r="AE127" s="12" t="s">
        <v>1092</v>
      </c>
      <c r="AF127" s="12" t="s">
        <v>1178</v>
      </c>
      <c r="AG127" s="12" t="s">
        <v>975</v>
      </c>
      <c r="AH127" s="13">
        <v>7.9</v>
      </c>
      <c r="AI127" s="12"/>
      <c r="AJ127" s="12"/>
      <c r="AK127" s="12"/>
      <c r="AL127" s="12" t="s">
        <v>1223</v>
      </c>
      <c r="AM127" s="14"/>
      <c r="AN127" s="59"/>
      <c r="AO127" s="12"/>
      <c r="AP127" s="60"/>
    </row>
    <row r="128" spans="1:42" ht="15.6" x14ac:dyDescent="0.3">
      <c r="A128" s="23"/>
      <c r="B128" s="20" t="s">
        <v>330</v>
      </c>
      <c r="C128" s="20"/>
      <c r="D128" s="20" t="s">
        <v>6</v>
      </c>
      <c r="E128" s="20"/>
      <c r="F128" s="66"/>
      <c r="G128" s="20"/>
      <c r="H128" s="20" t="s">
        <v>21</v>
      </c>
      <c r="I128" s="20" t="s">
        <v>329</v>
      </c>
      <c r="J128" s="50">
        <v>3400</v>
      </c>
      <c r="K128" s="50">
        <v>37094</v>
      </c>
      <c r="L128" s="20" t="s">
        <v>22</v>
      </c>
      <c r="M128" s="20"/>
      <c r="N128" s="20"/>
      <c r="O128" s="20"/>
      <c r="P128" s="20"/>
      <c r="Q128" s="20"/>
      <c r="R128" s="20"/>
      <c r="S128" s="20"/>
      <c r="T128" s="20">
        <v>1975</v>
      </c>
      <c r="U128" s="20"/>
      <c r="V128" s="20"/>
      <c r="W128" s="20" t="s">
        <v>21</v>
      </c>
      <c r="X128" s="20" t="s">
        <v>166</v>
      </c>
      <c r="Y128" s="20"/>
      <c r="Z128" s="20"/>
      <c r="AA128" s="20"/>
      <c r="AB128" s="20"/>
      <c r="AC128" s="20"/>
      <c r="AD128" s="20"/>
      <c r="AE128" s="20"/>
      <c r="AF128" s="20"/>
      <c r="AG128" s="20"/>
      <c r="AH128" s="19"/>
      <c r="AI128" s="20"/>
      <c r="AJ128" s="20"/>
      <c r="AK128" s="20"/>
      <c r="AL128" s="20"/>
      <c r="AM128" s="24"/>
      <c r="AN128" s="59"/>
      <c r="AO128" s="12"/>
      <c r="AP128" s="60"/>
    </row>
    <row r="129" spans="1:42" ht="15.6" x14ac:dyDescent="0.3">
      <c r="A129" s="23"/>
      <c r="B129" s="20" t="s">
        <v>25</v>
      </c>
      <c r="C129" s="20"/>
      <c r="D129" s="20" t="s">
        <v>6</v>
      </c>
      <c r="E129" s="20"/>
      <c r="F129" s="66"/>
      <c r="G129" s="20"/>
      <c r="H129" s="20" t="s">
        <v>7</v>
      </c>
      <c r="I129" s="20" t="s">
        <v>26</v>
      </c>
      <c r="J129" s="50" t="s">
        <v>214</v>
      </c>
      <c r="K129" s="50" t="s">
        <v>215</v>
      </c>
      <c r="L129" s="20" t="s">
        <v>24</v>
      </c>
      <c r="M129" s="20"/>
      <c r="N129" s="20"/>
      <c r="O129" s="20"/>
      <c r="P129" s="20"/>
      <c r="Q129" s="20"/>
      <c r="R129" s="20"/>
      <c r="S129" s="20"/>
      <c r="T129" s="20">
        <v>2014</v>
      </c>
      <c r="U129" s="20"/>
      <c r="V129" s="20"/>
      <c r="W129" s="20" t="s">
        <v>21</v>
      </c>
      <c r="X129" s="20" t="s">
        <v>8</v>
      </c>
      <c r="Y129" s="20"/>
      <c r="Z129" s="20"/>
      <c r="AA129" s="20"/>
      <c r="AB129" s="20"/>
      <c r="AC129" s="20"/>
      <c r="AD129" s="20"/>
      <c r="AE129" s="20"/>
      <c r="AF129" s="20"/>
      <c r="AG129" s="20"/>
      <c r="AH129" s="19"/>
      <c r="AI129" s="20"/>
      <c r="AJ129" s="20"/>
      <c r="AK129" s="20"/>
      <c r="AL129" s="20"/>
      <c r="AM129" s="24"/>
      <c r="AN129" s="59"/>
      <c r="AO129" s="12"/>
      <c r="AP129" s="60"/>
    </row>
    <row r="130" spans="1:42" ht="15.6" x14ac:dyDescent="0.3">
      <c r="A130" s="23"/>
      <c r="B130" s="20" t="s">
        <v>314</v>
      </c>
      <c r="C130" s="20"/>
      <c r="D130" s="20" t="s">
        <v>6</v>
      </c>
      <c r="E130" s="20"/>
      <c r="F130" s="66"/>
      <c r="G130" s="20"/>
      <c r="H130" s="20" t="s">
        <v>7</v>
      </c>
      <c r="I130" s="20" t="s">
        <v>313</v>
      </c>
      <c r="J130" s="50">
        <v>1858</v>
      </c>
      <c r="K130" s="50">
        <v>25669</v>
      </c>
      <c r="L130" s="20" t="s">
        <v>14</v>
      </c>
      <c r="M130" s="20"/>
      <c r="N130" s="20"/>
      <c r="O130" s="20"/>
      <c r="P130" s="20"/>
      <c r="Q130" s="20"/>
      <c r="R130" s="20"/>
      <c r="S130" s="20"/>
      <c r="T130" s="20">
        <v>1964</v>
      </c>
      <c r="U130" s="20"/>
      <c r="V130" s="20"/>
      <c r="W130" s="20" t="s">
        <v>21</v>
      </c>
      <c r="X130" s="20" t="s">
        <v>8</v>
      </c>
      <c r="Y130" s="20"/>
      <c r="Z130" s="20"/>
      <c r="AA130" s="20"/>
      <c r="AB130" s="20"/>
      <c r="AC130" s="20"/>
      <c r="AD130" s="20"/>
      <c r="AE130" s="20"/>
      <c r="AF130" s="20"/>
      <c r="AG130" s="20"/>
      <c r="AH130" s="19"/>
      <c r="AI130" s="20"/>
      <c r="AJ130" s="20"/>
      <c r="AK130" s="20"/>
      <c r="AL130" s="20"/>
      <c r="AM130" s="24"/>
      <c r="AN130" s="59"/>
      <c r="AO130" s="12"/>
      <c r="AP130" s="60"/>
    </row>
    <row r="131" spans="1:42" ht="15.6" x14ac:dyDescent="0.3">
      <c r="A131" s="23"/>
      <c r="B131" s="20" t="s">
        <v>173</v>
      </c>
      <c r="C131" s="20"/>
      <c r="D131" s="20" t="s">
        <v>6</v>
      </c>
      <c r="E131" s="20"/>
      <c r="F131" s="66"/>
      <c r="G131" s="20"/>
      <c r="H131" s="20" t="s">
        <v>171</v>
      </c>
      <c r="I131" s="20" t="s">
        <v>169</v>
      </c>
      <c r="J131" s="50" t="s">
        <v>216</v>
      </c>
      <c r="K131" s="50" t="s">
        <v>217</v>
      </c>
      <c r="L131" s="20" t="s">
        <v>170</v>
      </c>
      <c r="M131" s="20"/>
      <c r="N131" s="20"/>
      <c r="O131" s="20"/>
      <c r="P131" s="20"/>
      <c r="Q131" s="20"/>
      <c r="R131" s="20"/>
      <c r="S131" s="20"/>
      <c r="T131" s="20">
        <v>2019</v>
      </c>
      <c r="U131" s="20"/>
      <c r="V131" s="20"/>
      <c r="W131" s="20" t="s">
        <v>21</v>
      </c>
      <c r="X131" s="20" t="s">
        <v>172</v>
      </c>
      <c r="Y131" s="20"/>
      <c r="Z131" s="20"/>
      <c r="AA131" s="20"/>
      <c r="AB131" s="20"/>
      <c r="AC131" s="20"/>
      <c r="AD131" s="20"/>
      <c r="AE131" s="20"/>
      <c r="AF131" s="20"/>
      <c r="AG131" s="20"/>
      <c r="AH131" s="19"/>
      <c r="AI131" s="20"/>
      <c r="AJ131" s="20"/>
      <c r="AK131" s="20"/>
      <c r="AL131" s="20"/>
      <c r="AM131" s="24"/>
      <c r="AN131" s="59"/>
      <c r="AO131" s="12"/>
      <c r="AP131" s="60"/>
    </row>
    <row r="132" spans="1:42" ht="15.6" x14ac:dyDescent="0.3">
      <c r="A132" s="23"/>
      <c r="B132" s="20" t="s">
        <v>428</v>
      </c>
      <c r="C132" s="20" t="s">
        <v>1025</v>
      </c>
      <c r="D132" s="20" t="s">
        <v>97</v>
      </c>
      <c r="E132" s="20" t="s">
        <v>98</v>
      </c>
      <c r="F132" s="66" t="s">
        <v>1028</v>
      </c>
      <c r="G132" s="20" t="s">
        <v>1027</v>
      </c>
      <c r="H132" s="20" t="s">
        <v>427</v>
      </c>
      <c r="I132" s="20" t="s">
        <v>425</v>
      </c>
      <c r="J132" s="50" t="s">
        <v>430</v>
      </c>
      <c r="K132" s="50" t="s">
        <v>430</v>
      </c>
      <c r="L132" s="20" t="s">
        <v>426</v>
      </c>
      <c r="M132" s="20" t="s">
        <v>617</v>
      </c>
      <c r="N132" s="20" t="s">
        <v>1268</v>
      </c>
      <c r="O132" s="20" t="s">
        <v>1268</v>
      </c>
      <c r="P132" s="20"/>
      <c r="Q132" s="20"/>
      <c r="R132" s="20"/>
      <c r="S132" s="20"/>
      <c r="T132" s="20">
        <v>1999</v>
      </c>
      <c r="U132" s="20"/>
      <c r="V132" s="20"/>
      <c r="W132" s="20" t="s">
        <v>21</v>
      </c>
      <c r="X132" s="20" t="s">
        <v>39</v>
      </c>
      <c r="Y132" s="20"/>
      <c r="Z132" s="20"/>
      <c r="AA132" s="20"/>
      <c r="AB132" s="20" t="s">
        <v>1024</v>
      </c>
      <c r="AC132" s="20">
        <v>479</v>
      </c>
      <c r="AD132" s="20" t="s">
        <v>1439</v>
      </c>
      <c r="AE132" s="20"/>
      <c r="AF132" s="20"/>
      <c r="AG132" s="20" t="s">
        <v>682</v>
      </c>
      <c r="AH132" s="19">
        <v>10</v>
      </c>
      <c r="AI132" s="20"/>
      <c r="AJ132" s="20"/>
      <c r="AK132" s="20"/>
      <c r="AL132" s="20"/>
      <c r="AM132" s="24"/>
      <c r="AN132" s="59"/>
      <c r="AO132" s="12"/>
      <c r="AP132" s="60"/>
    </row>
    <row r="133" spans="1:42" ht="15.6" x14ac:dyDescent="0.3">
      <c r="A133" s="23"/>
      <c r="B133" s="20" t="s">
        <v>429</v>
      </c>
      <c r="C133" s="20" t="s">
        <v>1026</v>
      </c>
      <c r="D133" s="20" t="s">
        <v>97</v>
      </c>
      <c r="E133" s="20" t="s">
        <v>98</v>
      </c>
      <c r="F133" s="66" t="s">
        <v>1029</v>
      </c>
      <c r="G133" s="20" t="s">
        <v>1027</v>
      </c>
      <c r="H133" s="20" t="s">
        <v>427</v>
      </c>
      <c r="I133" s="20" t="s">
        <v>425</v>
      </c>
      <c r="J133" s="50" t="s">
        <v>430</v>
      </c>
      <c r="K133" s="50" t="s">
        <v>430</v>
      </c>
      <c r="L133" s="20" t="s">
        <v>426</v>
      </c>
      <c r="M133" s="20" t="s">
        <v>617</v>
      </c>
      <c r="N133" s="20" t="s">
        <v>1268</v>
      </c>
      <c r="O133" s="20" t="s">
        <v>1268</v>
      </c>
      <c r="P133" s="20"/>
      <c r="Q133" s="20"/>
      <c r="R133" s="20"/>
      <c r="S133" s="20"/>
      <c r="T133" s="20">
        <v>1999</v>
      </c>
      <c r="U133" s="20"/>
      <c r="V133" s="20"/>
      <c r="W133" s="20" t="s">
        <v>21</v>
      </c>
      <c r="X133" s="20" t="s">
        <v>39</v>
      </c>
      <c r="Y133" s="20"/>
      <c r="Z133" s="20"/>
      <c r="AA133" s="20"/>
      <c r="AB133" s="20" t="s">
        <v>1023</v>
      </c>
      <c r="AC133" s="20">
        <v>350</v>
      </c>
      <c r="AD133" s="20" t="s">
        <v>1440</v>
      </c>
      <c r="AE133" s="20"/>
      <c r="AF133" s="20"/>
      <c r="AG133" s="20" t="s">
        <v>1022</v>
      </c>
      <c r="AH133" s="19">
        <v>9.9</v>
      </c>
      <c r="AI133" s="20"/>
      <c r="AJ133" s="20"/>
      <c r="AK133" s="20"/>
      <c r="AL133" s="20"/>
      <c r="AM133" s="24"/>
      <c r="AN133" s="59"/>
      <c r="AO133" s="12"/>
      <c r="AP133" s="60"/>
    </row>
    <row r="134" spans="1:42" ht="15.6" x14ac:dyDescent="0.3">
      <c r="A134" s="23"/>
      <c r="B134" s="20" t="s">
        <v>374</v>
      </c>
      <c r="C134" s="20"/>
      <c r="D134" s="20" t="s">
        <v>6</v>
      </c>
      <c r="E134" s="20"/>
      <c r="F134" s="66"/>
      <c r="G134" s="20"/>
      <c r="H134" s="20" t="s">
        <v>7</v>
      </c>
      <c r="I134" s="20" t="s">
        <v>373</v>
      </c>
      <c r="J134" s="50">
        <v>22698</v>
      </c>
      <c r="K134" s="50" t="s">
        <v>204</v>
      </c>
      <c r="L134" s="20" t="s">
        <v>14</v>
      </c>
      <c r="M134" s="20"/>
      <c r="N134" s="20"/>
      <c r="O134" s="20"/>
      <c r="P134" s="20"/>
      <c r="Q134" s="20"/>
      <c r="R134" s="20"/>
      <c r="S134" s="20"/>
      <c r="T134" s="20">
        <v>2003</v>
      </c>
      <c r="U134" s="20"/>
      <c r="V134" s="20"/>
      <c r="W134" s="20" t="s">
        <v>21</v>
      </c>
      <c r="X134" s="20" t="s">
        <v>8</v>
      </c>
      <c r="Y134" s="20"/>
      <c r="Z134" s="20"/>
      <c r="AA134" s="20"/>
      <c r="AB134" s="20"/>
      <c r="AC134" s="20"/>
      <c r="AD134" s="20"/>
      <c r="AE134" s="20"/>
      <c r="AF134" s="20"/>
      <c r="AG134" s="20"/>
      <c r="AH134" s="19"/>
      <c r="AI134" s="20"/>
      <c r="AJ134" s="20"/>
      <c r="AK134" s="20"/>
      <c r="AL134" s="20"/>
      <c r="AM134" s="24"/>
      <c r="AN134" s="59"/>
      <c r="AO134" s="12"/>
      <c r="AP134" s="60"/>
    </row>
    <row r="135" spans="1:42" ht="15.6" x14ac:dyDescent="0.3">
      <c r="A135" s="23"/>
      <c r="B135" s="20" t="s">
        <v>376</v>
      </c>
      <c r="C135" s="20"/>
      <c r="D135" s="20" t="s">
        <v>6</v>
      </c>
      <c r="E135" s="20"/>
      <c r="F135" s="66"/>
      <c r="G135" s="20"/>
      <c r="H135" s="20" t="s">
        <v>7</v>
      </c>
      <c r="I135" s="20" t="s">
        <v>373</v>
      </c>
      <c r="J135" s="50">
        <v>22698</v>
      </c>
      <c r="K135" s="50" t="s">
        <v>204</v>
      </c>
      <c r="L135" s="20" t="s">
        <v>14</v>
      </c>
      <c r="M135" s="20"/>
      <c r="N135" s="20"/>
      <c r="O135" s="20"/>
      <c r="P135" s="20"/>
      <c r="Q135" s="20"/>
      <c r="R135" s="20"/>
      <c r="S135" s="20"/>
      <c r="T135" s="20">
        <v>2017</v>
      </c>
      <c r="U135" s="20"/>
      <c r="V135" s="20"/>
      <c r="W135" s="20" t="s">
        <v>21</v>
      </c>
      <c r="X135" s="20" t="s">
        <v>8</v>
      </c>
      <c r="Y135" s="20"/>
      <c r="Z135" s="20"/>
      <c r="AA135" s="20"/>
      <c r="AB135" s="20"/>
      <c r="AC135" s="20"/>
      <c r="AD135" s="20"/>
      <c r="AE135" s="20"/>
      <c r="AF135" s="20"/>
      <c r="AG135" s="20"/>
      <c r="AH135" s="19"/>
      <c r="AI135" s="20"/>
      <c r="AJ135" s="20"/>
      <c r="AK135" s="20"/>
      <c r="AL135" s="20"/>
      <c r="AM135" s="24"/>
      <c r="AN135" s="59"/>
      <c r="AO135" s="12"/>
      <c r="AP135" s="60"/>
    </row>
    <row r="136" spans="1:42" ht="15.6" x14ac:dyDescent="0.3">
      <c r="A136" s="23"/>
      <c r="B136" s="20" t="s">
        <v>375</v>
      </c>
      <c r="C136" s="20"/>
      <c r="D136" s="20" t="s">
        <v>6</v>
      </c>
      <c r="E136" s="20"/>
      <c r="F136" s="66"/>
      <c r="G136" s="20"/>
      <c r="H136" s="20" t="s">
        <v>7</v>
      </c>
      <c r="I136" s="20" t="s">
        <v>373</v>
      </c>
      <c r="J136" s="50">
        <v>22698</v>
      </c>
      <c r="K136" s="50" t="s">
        <v>204</v>
      </c>
      <c r="L136" s="20" t="s">
        <v>14</v>
      </c>
      <c r="M136" s="20"/>
      <c r="N136" s="20"/>
      <c r="O136" s="20"/>
      <c r="P136" s="20"/>
      <c r="Q136" s="20"/>
      <c r="R136" s="20"/>
      <c r="S136" s="20"/>
      <c r="T136" s="20">
        <v>2021</v>
      </c>
      <c r="U136" s="20"/>
      <c r="V136" s="20"/>
      <c r="W136" s="20" t="s">
        <v>21</v>
      </c>
      <c r="X136" s="20" t="s">
        <v>8</v>
      </c>
      <c r="Y136" s="20"/>
      <c r="Z136" s="20"/>
      <c r="AA136" s="20"/>
      <c r="AB136" s="20"/>
      <c r="AC136" s="20"/>
      <c r="AD136" s="20"/>
      <c r="AE136" s="20"/>
      <c r="AF136" s="20"/>
      <c r="AG136" s="20"/>
      <c r="AH136" s="19"/>
      <c r="AI136" s="20"/>
      <c r="AJ136" s="20"/>
      <c r="AK136" s="20"/>
      <c r="AL136" s="20"/>
      <c r="AM136" s="24"/>
      <c r="AN136" s="59"/>
      <c r="AO136" s="12"/>
      <c r="AP136" s="60"/>
    </row>
    <row r="137" spans="1:42" ht="15.6" x14ac:dyDescent="0.3">
      <c r="A137" s="23"/>
      <c r="B137" s="20" t="s">
        <v>55</v>
      </c>
      <c r="C137" s="20"/>
      <c r="D137" s="20" t="s">
        <v>6</v>
      </c>
      <c r="E137" s="20"/>
      <c r="F137" s="66"/>
      <c r="G137" s="20"/>
      <c r="H137" s="20" t="s">
        <v>7</v>
      </c>
      <c r="I137" s="20" t="s">
        <v>52</v>
      </c>
      <c r="J137" s="50">
        <v>30637</v>
      </c>
      <c r="K137" s="50" t="s">
        <v>204</v>
      </c>
      <c r="L137" s="20" t="s">
        <v>14</v>
      </c>
      <c r="M137" s="20"/>
      <c r="N137" s="20"/>
      <c r="O137" s="20"/>
      <c r="P137" s="20"/>
      <c r="Q137" s="20"/>
      <c r="R137" s="20"/>
      <c r="S137" s="20"/>
      <c r="T137" s="20">
        <v>2016</v>
      </c>
      <c r="U137" s="20"/>
      <c r="V137" s="20"/>
      <c r="W137" s="20" t="s">
        <v>21</v>
      </c>
      <c r="X137" s="20" t="s">
        <v>11</v>
      </c>
      <c r="Y137" s="20"/>
      <c r="Z137" s="20"/>
      <c r="AA137" s="20"/>
      <c r="AB137" s="20"/>
      <c r="AC137" s="20"/>
      <c r="AD137" s="20"/>
      <c r="AE137" s="20"/>
      <c r="AF137" s="20"/>
      <c r="AG137" s="20"/>
      <c r="AH137" s="19"/>
      <c r="AI137" s="20"/>
      <c r="AJ137" s="20"/>
      <c r="AK137" s="20"/>
      <c r="AL137" s="20"/>
      <c r="AM137" s="24"/>
      <c r="AN137" s="59"/>
      <c r="AO137" s="12"/>
      <c r="AP137" s="60"/>
    </row>
    <row r="138" spans="1:42" ht="15.6" x14ac:dyDescent="0.3">
      <c r="A138" s="23"/>
      <c r="B138" s="20" t="s">
        <v>54</v>
      </c>
      <c r="C138" s="20"/>
      <c r="D138" s="20" t="s">
        <v>6</v>
      </c>
      <c r="E138" s="20"/>
      <c r="F138" s="66"/>
      <c r="G138" s="20"/>
      <c r="H138" s="20" t="s">
        <v>7</v>
      </c>
      <c r="I138" s="20" t="s">
        <v>52</v>
      </c>
      <c r="J138" s="50">
        <v>30637</v>
      </c>
      <c r="K138" s="50" t="s">
        <v>204</v>
      </c>
      <c r="L138" s="20" t="s">
        <v>14</v>
      </c>
      <c r="M138" s="20"/>
      <c r="N138" s="20"/>
      <c r="O138" s="20"/>
      <c r="P138" s="20"/>
      <c r="Q138" s="20"/>
      <c r="R138" s="20"/>
      <c r="S138" s="20"/>
      <c r="T138" s="20">
        <v>2017</v>
      </c>
      <c r="U138" s="20"/>
      <c r="V138" s="20"/>
      <c r="W138" s="20" t="s">
        <v>21</v>
      </c>
      <c r="X138" s="20" t="s">
        <v>11</v>
      </c>
      <c r="Y138" s="20"/>
      <c r="Z138" s="20"/>
      <c r="AA138" s="20"/>
      <c r="AB138" s="20"/>
      <c r="AC138" s="20"/>
      <c r="AD138" s="20"/>
      <c r="AE138" s="20"/>
      <c r="AF138" s="20"/>
      <c r="AG138" s="20"/>
      <c r="AH138" s="19"/>
      <c r="AI138" s="20"/>
      <c r="AJ138" s="20"/>
      <c r="AK138" s="20"/>
      <c r="AL138" s="20"/>
      <c r="AM138" s="24"/>
      <c r="AN138" s="59"/>
      <c r="AO138" s="12"/>
      <c r="AP138" s="60"/>
    </row>
    <row r="139" spans="1:42" ht="15.6" x14ac:dyDescent="0.3">
      <c r="A139" s="23"/>
      <c r="B139" s="20" t="s">
        <v>53</v>
      </c>
      <c r="C139" s="20"/>
      <c r="D139" s="20" t="s">
        <v>6</v>
      </c>
      <c r="E139" s="20"/>
      <c r="F139" s="66"/>
      <c r="G139" s="20"/>
      <c r="H139" s="20" t="s">
        <v>7</v>
      </c>
      <c r="I139" s="20" t="s">
        <v>52</v>
      </c>
      <c r="J139" s="50">
        <v>30637</v>
      </c>
      <c r="K139" s="50" t="s">
        <v>204</v>
      </c>
      <c r="L139" s="20" t="s">
        <v>14</v>
      </c>
      <c r="M139" s="20"/>
      <c r="N139" s="20"/>
      <c r="O139" s="20"/>
      <c r="P139" s="20"/>
      <c r="Q139" s="20"/>
      <c r="R139" s="20"/>
      <c r="S139" s="20"/>
      <c r="T139" s="20">
        <v>2016</v>
      </c>
      <c r="U139" s="20"/>
      <c r="V139" s="20"/>
      <c r="W139" s="20" t="s">
        <v>21</v>
      </c>
      <c r="X139" s="20" t="s">
        <v>11</v>
      </c>
      <c r="Y139" s="20"/>
      <c r="Z139" s="20"/>
      <c r="AA139" s="20"/>
      <c r="AB139" s="20"/>
      <c r="AC139" s="20"/>
      <c r="AD139" s="20"/>
      <c r="AE139" s="20"/>
      <c r="AF139" s="20"/>
      <c r="AG139" s="20"/>
      <c r="AH139" s="19"/>
      <c r="AI139" s="20"/>
      <c r="AJ139" s="20"/>
      <c r="AK139" s="20"/>
      <c r="AL139" s="20"/>
      <c r="AM139" s="24"/>
      <c r="AN139" s="59"/>
      <c r="AO139" s="12"/>
      <c r="AP139" s="60"/>
    </row>
    <row r="140" spans="1:42" ht="15.6" x14ac:dyDescent="0.3">
      <c r="A140" s="23"/>
      <c r="B140" s="20" t="s">
        <v>56</v>
      </c>
      <c r="C140" s="20"/>
      <c r="D140" s="20" t="s">
        <v>6</v>
      </c>
      <c r="E140" s="20"/>
      <c r="F140" s="66"/>
      <c r="G140" s="20"/>
      <c r="H140" s="20" t="s">
        <v>7</v>
      </c>
      <c r="I140" s="20" t="s">
        <v>52</v>
      </c>
      <c r="J140" s="50">
        <v>30637</v>
      </c>
      <c r="K140" s="50" t="s">
        <v>204</v>
      </c>
      <c r="L140" s="20" t="s">
        <v>14</v>
      </c>
      <c r="M140" s="20"/>
      <c r="N140" s="20"/>
      <c r="O140" s="20"/>
      <c r="P140" s="20"/>
      <c r="Q140" s="20"/>
      <c r="R140" s="20"/>
      <c r="S140" s="20"/>
      <c r="T140" s="20">
        <v>2017</v>
      </c>
      <c r="U140" s="20"/>
      <c r="V140" s="20"/>
      <c r="W140" s="20" t="s">
        <v>21</v>
      </c>
      <c r="X140" s="20" t="s">
        <v>11</v>
      </c>
      <c r="Y140" s="20"/>
      <c r="Z140" s="20"/>
      <c r="AA140" s="20"/>
      <c r="AB140" s="20"/>
      <c r="AC140" s="20"/>
      <c r="AD140" s="20"/>
      <c r="AE140" s="20"/>
      <c r="AF140" s="20"/>
      <c r="AG140" s="20"/>
      <c r="AH140" s="19"/>
      <c r="AI140" s="20"/>
      <c r="AJ140" s="20"/>
      <c r="AK140" s="20"/>
      <c r="AL140" s="20"/>
      <c r="AM140" s="24"/>
      <c r="AN140" s="59"/>
      <c r="AO140" s="12"/>
      <c r="AP140" s="60"/>
    </row>
    <row r="141" spans="1:42" ht="15.6" x14ac:dyDescent="0.3">
      <c r="A141" s="23"/>
      <c r="B141" s="20" t="s">
        <v>809</v>
      </c>
      <c r="C141" s="20" t="s">
        <v>810</v>
      </c>
      <c r="D141" s="20" t="s">
        <v>6</v>
      </c>
      <c r="E141" s="20" t="s">
        <v>81</v>
      </c>
      <c r="F141" s="66" t="s">
        <v>814</v>
      </c>
      <c r="G141" s="20">
        <v>1957</v>
      </c>
      <c r="H141" s="20" t="s">
        <v>254</v>
      </c>
      <c r="I141" s="20" t="s">
        <v>811</v>
      </c>
      <c r="J141" s="50" t="s">
        <v>813</v>
      </c>
      <c r="K141" s="50">
        <v>22066</v>
      </c>
      <c r="L141" s="20" t="s">
        <v>255</v>
      </c>
      <c r="M141" s="20" t="s">
        <v>617</v>
      </c>
      <c r="N141" s="20" t="s">
        <v>812</v>
      </c>
      <c r="O141" s="20" t="s">
        <v>1268</v>
      </c>
      <c r="P141" s="20"/>
      <c r="Q141" s="20"/>
      <c r="R141" s="20"/>
      <c r="S141" s="20"/>
      <c r="T141" s="20">
        <v>1963</v>
      </c>
      <c r="U141" s="20"/>
      <c r="V141" s="20"/>
      <c r="W141" s="20" t="s">
        <v>21</v>
      </c>
      <c r="X141" s="20" t="s">
        <v>159</v>
      </c>
      <c r="Y141" s="20"/>
      <c r="Z141" s="20"/>
      <c r="AA141" s="20"/>
      <c r="AB141" s="20" t="s">
        <v>808</v>
      </c>
      <c r="AC141" s="20">
        <v>436</v>
      </c>
      <c r="AD141" s="20"/>
      <c r="AE141" s="20"/>
      <c r="AF141" s="20"/>
      <c r="AG141" s="20" t="s">
        <v>807</v>
      </c>
      <c r="AH141" s="19">
        <f>(11000*1.9411)/1936.27</f>
        <v>11.027439355048626</v>
      </c>
      <c r="AI141" s="20" t="s">
        <v>1346</v>
      </c>
      <c r="AJ141" s="20"/>
      <c r="AK141" s="20"/>
      <c r="AL141" s="20"/>
      <c r="AM141" s="24"/>
      <c r="AN141" s="59"/>
      <c r="AO141" s="12"/>
      <c r="AP141" s="60"/>
    </row>
    <row r="142" spans="1:42" ht="15.6" x14ac:dyDescent="0.3">
      <c r="A142" s="23"/>
      <c r="B142" s="20" t="s">
        <v>192</v>
      </c>
      <c r="C142" s="20" t="s">
        <v>984</v>
      </c>
      <c r="D142" s="20" t="s">
        <v>6</v>
      </c>
      <c r="E142" s="20" t="s">
        <v>81</v>
      </c>
      <c r="F142" s="66" t="s">
        <v>985</v>
      </c>
      <c r="G142" s="20">
        <v>1976</v>
      </c>
      <c r="H142" s="20" t="s">
        <v>7</v>
      </c>
      <c r="I142" s="20" t="s">
        <v>191</v>
      </c>
      <c r="J142" s="50">
        <v>11993</v>
      </c>
      <c r="K142" s="50" t="s">
        <v>204</v>
      </c>
      <c r="L142" s="20" t="s">
        <v>14</v>
      </c>
      <c r="M142" s="20" t="s">
        <v>645</v>
      </c>
      <c r="N142" s="20" t="s">
        <v>1268</v>
      </c>
      <c r="O142" s="20" t="s">
        <v>1268</v>
      </c>
      <c r="P142" s="20"/>
      <c r="Q142" s="20"/>
      <c r="R142" s="20"/>
      <c r="S142" s="20"/>
      <c r="T142" s="20">
        <v>2011</v>
      </c>
      <c r="U142" s="20"/>
      <c r="V142" s="20"/>
      <c r="W142" s="20" t="s">
        <v>21</v>
      </c>
      <c r="X142" s="20" t="s">
        <v>8</v>
      </c>
      <c r="Y142" s="20"/>
      <c r="Z142" s="20"/>
      <c r="AA142" s="20"/>
      <c r="AB142" s="20" t="s">
        <v>983</v>
      </c>
      <c r="AC142" s="20">
        <v>160</v>
      </c>
      <c r="AD142" s="20"/>
      <c r="AE142" s="20"/>
      <c r="AF142" s="20"/>
      <c r="AG142" s="20" t="s">
        <v>982</v>
      </c>
      <c r="AH142" s="19">
        <v>9.5</v>
      </c>
      <c r="AI142" s="20"/>
      <c r="AJ142" s="20"/>
      <c r="AK142" s="20"/>
      <c r="AL142" s="20"/>
      <c r="AM142" s="24"/>
      <c r="AN142" s="59"/>
      <c r="AO142" s="12"/>
      <c r="AP142" s="60"/>
    </row>
    <row r="143" spans="1:42" ht="31.2" x14ac:dyDescent="0.3">
      <c r="A143" s="23"/>
      <c r="B143" s="20" t="s">
        <v>866</v>
      </c>
      <c r="C143" s="20" t="s">
        <v>866</v>
      </c>
      <c r="D143" s="20" t="s">
        <v>6</v>
      </c>
      <c r="E143" s="20" t="s">
        <v>81</v>
      </c>
      <c r="F143" s="66" t="s">
        <v>869</v>
      </c>
      <c r="G143" s="20">
        <v>1950</v>
      </c>
      <c r="H143" s="20" t="s">
        <v>21</v>
      </c>
      <c r="I143" s="20" t="s">
        <v>868</v>
      </c>
      <c r="J143" s="50">
        <v>3175</v>
      </c>
      <c r="K143" s="50">
        <v>18502</v>
      </c>
      <c r="L143" s="20" t="s">
        <v>22</v>
      </c>
      <c r="M143" s="20" t="s">
        <v>617</v>
      </c>
      <c r="N143" s="20" t="s">
        <v>1268</v>
      </c>
      <c r="O143" s="20" t="s">
        <v>1268</v>
      </c>
      <c r="P143" s="20"/>
      <c r="Q143" s="20"/>
      <c r="R143" s="20"/>
      <c r="S143" s="20"/>
      <c r="T143" s="20">
        <v>2022</v>
      </c>
      <c r="U143" s="20"/>
      <c r="V143" s="20"/>
      <c r="W143" s="20" t="s">
        <v>21</v>
      </c>
      <c r="X143" s="20" t="s">
        <v>159</v>
      </c>
      <c r="Y143" s="20"/>
      <c r="Z143" s="20"/>
      <c r="AA143" s="20"/>
      <c r="AB143" s="20" t="s">
        <v>867</v>
      </c>
      <c r="AC143" s="20">
        <v>213</v>
      </c>
      <c r="AD143" s="20"/>
      <c r="AE143" s="20"/>
      <c r="AF143" s="20"/>
      <c r="AG143" s="20" t="s">
        <v>652</v>
      </c>
      <c r="AH143" s="19">
        <f>(9.9)/2</f>
        <v>4.95</v>
      </c>
      <c r="AI143" s="20"/>
      <c r="AJ143" s="20"/>
      <c r="AK143" s="20"/>
      <c r="AL143" s="20"/>
      <c r="AM143" s="24"/>
      <c r="AN143" s="59"/>
      <c r="AO143" s="12"/>
      <c r="AP143" s="60"/>
    </row>
    <row r="144" spans="1:42" ht="31.2" x14ac:dyDescent="0.3">
      <c r="A144" s="23"/>
      <c r="B144" s="20" t="s">
        <v>776</v>
      </c>
      <c r="C144" s="20" t="s">
        <v>777</v>
      </c>
      <c r="D144" s="20" t="s">
        <v>6</v>
      </c>
      <c r="E144" s="20" t="s">
        <v>81</v>
      </c>
      <c r="F144" s="66" t="s">
        <v>830</v>
      </c>
      <c r="G144" s="20">
        <v>1890</v>
      </c>
      <c r="H144" s="20" t="s">
        <v>728</v>
      </c>
      <c r="I144" s="20" t="s">
        <v>1210</v>
      </c>
      <c r="J144" s="50" t="s">
        <v>778</v>
      </c>
      <c r="K144" s="50">
        <v>19043</v>
      </c>
      <c r="L144" s="20" t="s">
        <v>728</v>
      </c>
      <c r="M144" s="20" t="s">
        <v>617</v>
      </c>
      <c r="N144" s="20" t="s">
        <v>775</v>
      </c>
      <c r="O144" s="20" t="s">
        <v>1268</v>
      </c>
      <c r="P144" s="20"/>
      <c r="Q144" s="20"/>
      <c r="R144" s="20"/>
      <c r="S144" s="20"/>
      <c r="T144" s="20">
        <v>2002</v>
      </c>
      <c r="U144" s="20"/>
      <c r="V144" s="20"/>
      <c r="W144" s="20" t="s">
        <v>21</v>
      </c>
      <c r="X144" s="20" t="s">
        <v>269</v>
      </c>
      <c r="Y144" s="20"/>
      <c r="Z144" s="20"/>
      <c r="AA144" s="20"/>
      <c r="AB144" s="20" t="s">
        <v>774</v>
      </c>
      <c r="AC144" s="20">
        <v>186</v>
      </c>
      <c r="AD144" s="20"/>
      <c r="AE144" s="20"/>
      <c r="AF144" s="20"/>
      <c r="AG144" s="20" t="s">
        <v>624</v>
      </c>
      <c r="AH144" s="19">
        <v>13</v>
      </c>
      <c r="AI144" s="20"/>
      <c r="AJ144" s="20"/>
      <c r="AK144" s="20"/>
      <c r="AL144" s="20"/>
      <c r="AM144" s="24"/>
      <c r="AN144" s="59"/>
      <c r="AO144" s="12"/>
      <c r="AP144" s="60"/>
    </row>
    <row r="145" spans="1:42" ht="15.6" x14ac:dyDescent="0.3">
      <c r="A145" s="23"/>
      <c r="B145" s="20" t="s">
        <v>309</v>
      </c>
      <c r="C145" s="20"/>
      <c r="D145" s="20" t="s">
        <v>6</v>
      </c>
      <c r="E145" s="20"/>
      <c r="F145" s="66"/>
      <c r="G145" s="20"/>
      <c r="H145" s="20" t="s">
        <v>126</v>
      </c>
      <c r="I145" s="20" t="s">
        <v>1195</v>
      </c>
      <c r="J145" s="50">
        <v>16407</v>
      </c>
      <c r="K145" s="50" t="s">
        <v>204</v>
      </c>
      <c r="L145" s="20" t="s">
        <v>126</v>
      </c>
      <c r="M145" s="20"/>
      <c r="N145" s="20"/>
      <c r="O145" s="20"/>
      <c r="P145" s="20"/>
      <c r="Q145" s="20"/>
      <c r="R145" s="20"/>
      <c r="S145" s="20"/>
      <c r="T145" s="20">
        <v>2014</v>
      </c>
      <c r="U145" s="20"/>
      <c r="V145" s="20"/>
      <c r="W145" s="20" t="s">
        <v>21</v>
      </c>
      <c r="X145" s="20" t="s">
        <v>159</v>
      </c>
      <c r="Y145" s="20"/>
      <c r="Z145" s="20"/>
      <c r="AA145" s="20"/>
      <c r="AB145" s="20"/>
      <c r="AC145" s="20"/>
      <c r="AD145" s="20"/>
      <c r="AE145" s="20"/>
      <c r="AF145" s="20"/>
      <c r="AG145" s="20"/>
      <c r="AH145" s="19"/>
      <c r="AI145" s="20"/>
      <c r="AJ145" s="20"/>
      <c r="AK145" s="20"/>
      <c r="AL145" s="20"/>
      <c r="AM145" s="24"/>
      <c r="AN145" s="59"/>
      <c r="AO145" s="12"/>
      <c r="AP145" s="60"/>
    </row>
    <row r="146" spans="1:42" ht="15.6" x14ac:dyDescent="0.3">
      <c r="A146" s="23"/>
      <c r="B146" s="20" t="s">
        <v>295</v>
      </c>
      <c r="C146" s="20"/>
      <c r="D146" s="20" t="s">
        <v>6</v>
      </c>
      <c r="E146" s="20"/>
      <c r="F146" s="66"/>
      <c r="G146" s="20"/>
      <c r="H146" s="20" t="s">
        <v>276</v>
      </c>
      <c r="I146" s="20" t="s">
        <v>296</v>
      </c>
      <c r="J146" s="50">
        <v>18957</v>
      </c>
      <c r="K146" s="50" t="s">
        <v>204</v>
      </c>
      <c r="L146" s="20" t="s">
        <v>285</v>
      </c>
      <c r="M146" s="20"/>
      <c r="N146" s="20"/>
      <c r="O146" s="20"/>
      <c r="P146" s="20"/>
      <c r="Q146" s="20"/>
      <c r="R146" s="20"/>
      <c r="S146" s="20"/>
      <c r="T146" s="20">
        <v>1997</v>
      </c>
      <c r="U146" s="20"/>
      <c r="V146" s="20"/>
      <c r="W146" s="20" t="s">
        <v>21</v>
      </c>
      <c r="X146" s="20" t="s">
        <v>297</v>
      </c>
      <c r="Y146" s="20"/>
      <c r="Z146" s="20"/>
      <c r="AA146" s="20"/>
      <c r="AB146" s="20"/>
      <c r="AC146" s="20"/>
      <c r="AD146" s="20"/>
      <c r="AE146" s="20"/>
      <c r="AF146" s="20"/>
      <c r="AG146" s="20"/>
      <c r="AH146" s="19"/>
      <c r="AI146" s="20"/>
      <c r="AJ146" s="20"/>
      <c r="AK146" s="20"/>
      <c r="AL146" s="20"/>
      <c r="AM146" s="24"/>
      <c r="AN146" s="59"/>
      <c r="AO146" s="12"/>
      <c r="AP146" s="60"/>
    </row>
    <row r="147" spans="1:42" ht="15.6" x14ac:dyDescent="0.3">
      <c r="A147" s="23"/>
      <c r="B147" s="20" t="s">
        <v>945</v>
      </c>
      <c r="C147" s="20" t="s">
        <v>1218</v>
      </c>
      <c r="D147" s="20" t="s">
        <v>6</v>
      </c>
      <c r="E147" s="20" t="s">
        <v>77</v>
      </c>
      <c r="F147" s="66" t="s">
        <v>952</v>
      </c>
      <c r="G147" s="20" t="s">
        <v>951</v>
      </c>
      <c r="H147" s="20" t="s">
        <v>126</v>
      </c>
      <c r="I147" s="20" t="s">
        <v>948</v>
      </c>
      <c r="J147" s="50" t="s">
        <v>949</v>
      </c>
      <c r="K147" s="50" t="s">
        <v>950</v>
      </c>
      <c r="L147" s="20" t="s">
        <v>126</v>
      </c>
      <c r="M147" s="20" t="s">
        <v>617</v>
      </c>
      <c r="N147" s="20" t="s">
        <v>1268</v>
      </c>
      <c r="O147" s="20" t="s">
        <v>1268</v>
      </c>
      <c r="P147" s="20"/>
      <c r="Q147" s="20"/>
      <c r="R147" s="20"/>
      <c r="S147" s="20"/>
      <c r="T147" s="20">
        <v>2016</v>
      </c>
      <c r="U147" s="20"/>
      <c r="V147" s="20"/>
      <c r="W147" s="20" t="s">
        <v>21</v>
      </c>
      <c r="X147" s="20" t="s">
        <v>937</v>
      </c>
      <c r="Y147" s="20"/>
      <c r="Z147" s="20"/>
      <c r="AA147" s="20"/>
      <c r="AB147" s="20" t="s">
        <v>947</v>
      </c>
      <c r="AC147" s="20">
        <v>205</v>
      </c>
      <c r="AD147" s="20"/>
      <c r="AE147" s="20"/>
      <c r="AF147" s="20"/>
      <c r="AG147" s="20" t="s">
        <v>946</v>
      </c>
      <c r="AH147" s="19">
        <v>26.5</v>
      </c>
      <c r="AI147" s="20"/>
      <c r="AJ147" s="20"/>
      <c r="AK147" s="20"/>
      <c r="AL147" s="20"/>
      <c r="AM147" s="24"/>
      <c r="AN147" s="59"/>
      <c r="AO147" s="12"/>
      <c r="AP147" s="60"/>
    </row>
    <row r="148" spans="1:42" ht="15.6" x14ac:dyDescent="0.3">
      <c r="A148" s="11"/>
      <c r="B148" s="12" t="s">
        <v>1395</v>
      </c>
      <c r="C148" s="12" t="s">
        <v>1396</v>
      </c>
      <c r="D148" s="12" t="s">
        <v>82</v>
      </c>
      <c r="E148" s="12" t="s">
        <v>84</v>
      </c>
      <c r="F148" s="65" t="s">
        <v>1414</v>
      </c>
      <c r="G148" s="12">
        <v>2018</v>
      </c>
      <c r="H148" s="12" t="s">
        <v>7</v>
      </c>
      <c r="I148" s="12" t="s">
        <v>1400</v>
      </c>
      <c r="J148" s="49" t="s">
        <v>1364</v>
      </c>
      <c r="K148" s="49" t="s">
        <v>205</v>
      </c>
      <c r="L148" s="12" t="s">
        <v>34</v>
      </c>
      <c r="M148" s="12" t="s">
        <v>1397</v>
      </c>
      <c r="N148" s="12" t="s">
        <v>1269</v>
      </c>
      <c r="O148" s="12" t="s">
        <v>1269</v>
      </c>
      <c r="P148" s="12" t="s">
        <v>1398</v>
      </c>
      <c r="Q148" s="12"/>
      <c r="R148" s="12"/>
      <c r="S148" s="12"/>
      <c r="T148" s="12">
        <v>2018</v>
      </c>
      <c r="U148" s="12">
        <v>2018</v>
      </c>
      <c r="V148" s="12"/>
      <c r="W148" s="12" t="s">
        <v>21</v>
      </c>
      <c r="X148" s="12" t="s">
        <v>1399</v>
      </c>
      <c r="Y148" s="12" t="s">
        <v>1259</v>
      </c>
      <c r="Z148" s="12"/>
      <c r="AA148" s="12"/>
      <c r="AB148" s="12" t="s">
        <v>1401</v>
      </c>
      <c r="AC148" s="12">
        <v>581</v>
      </c>
      <c r="AD148" s="12"/>
      <c r="AE148" s="12" t="s">
        <v>1090</v>
      </c>
      <c r="AF148" s="12" t="s">
        <v>1182</v>
      </c>
      <c r="AG148" s="12" t="s">
        <v>1402</v>
      </c>
      <c r="AH148" s="13">
        <v>59</v>
      </c>
      <c r="AI148" s="12"/>
      <c r="AJ148" s="12"/>
      <c r="AK148" s="12"/>
      <c r="AL148" s="12" t="s">
        <v>1231</v>
      </c>
      <c r="AM148" s="14"/>
      <c r="AN148" s="59"/>
      <c r="AO148" s="12"/>
      <c r="AP148" s="60"/>
    </row>
    <row r="149" spans="1:42" ht="15.6" x14ac:dyDescent="0.3">
      <c r="A149" s="23"/>
      <c r="B149" s="20" t="s">
        <v>860</v>
      </c>
      <c r="C149" s="20" t="s">
        <v>860</v>
      </c>
      <c r="D149" s="20" t="s">
        <v>6</v>
      </c>
      <c r="E149" s="20" t="s">
        <v>81</v>
      </c>
      <c r="F149" s="66" t="s">
        <v>865</v>
      </c>
      <c r="G149" s="20">
        <v>1904</v>
      </c>
      <c r="H149" s="20" t="s">
        <v>21</v>
      </c>
      <c r="I149" s="20" t="s">
        <v>863</v>
      </c>
      <c r="J149" s="50" t="s">
        <v>864</v>
      </c>
      <c r="K149" s="50">
        <v>13494</v>
      </c>
      <c r="L149" s="20" t="s">
        <v>22</v>
      </c>
      <c r="M149" s="20" t="s">
        <v>617</v>
      </c>
      <c r="N149" s="20" t="s">
        <v>862</v>
      </c>
      <c r="O149" s="20" t="s">
        <v>1268</v>
      </c>
      <c r="P149" s="20"/>
      <c r="Q149" s="20"/>
      <c r="R149" s="20"/>
      <c r="S149" s="20"/>
      <c r="T149" s="20">
        <v>2014</v>
      </c>
      <c r="U149" s="20"/>
      <c r="V149" s="20"/>
      <c r="W149" s="20" t="s">
        <v>21</v>
      </c>
      <c r="X149" s="20" t="s">
        <v>277</v>
      </c>
      <c r="Y149" s="20"/>
      <c r="Z149" s="20"/>
      <c r="AA149" s="20"/>
      <c r="AB149" s="20" t="s">
        <v>861</v>
      </c>
      <c r="AC149" s="20">
        <v>291</v>
      </c>
      <c r="AD149" s="20"/>
      <c r="AE149" s="20"/>
      <c r="AF149" s="20"/>
      <c r="AG149" s="20" t="s">
        <v>669</v>
      </c>
      <c r="AH149" s="19">
        <v>9</v>
      </c>
      <c r="AI149" s="20"/>
      <c r="AJ149" s="20"/>
      <c r="AK149" s="20"/>
      <c r="AL149" s="20"/>
      <c r="AM149" s="24"/>
      <c r="AN149" s="59"/>
      <c r="AO149" s="12"/>
      <c r="AP149" s="60"/>
    </row>
    <row r="150" spans="1:42" ht="15.6" x14ac:dyDescent="0.3">
      <c r="A150" s="23"/>
      <c r="B150" s="20" t="s">
        <v>749</v>
      </c>
      <c r="C150" s="20" t="s">
        <v>754</v>
      </c>
      <c r="D150" s="20" t="s">
        <v>6</v>
      </c>
      <c r="E150" s="20" t="s">
        <v>81</v>
      </c>
      <c r="F150" s="66" t="s">
        <v>759</v>
      </c>
      <c r="G150" s="20" t="s">
        <v>755</v>
      </c>
      <c r="H150" s="20" t="s">
        <v>753</v>
      </c>
      <c r="I150" s="20" t="s">
        <v>756</v>
      </c>
      <c r="J150" s="50" t="s">
        <v>758</v>
      </c>
      <c r="K150" s="50">
        <v>15939</v>
      </c>
      <c r="L150" s="20" t="s">
        <v>753</v>
      </c>
      <c r="M150" s="20" t="s">
        <v>617</v>
      </c>
      <c r="N150" s="20" t="s">
        <v>757</v>
      </c>
      <c r="O150" s="20" t="s">
        <v>1268</v>
      </c>
      <c r="P150" s="20"/>
      <c r="Q150" s="20"/>
      <c r="R150" s="20"/>
      <c r="S150" s="20"/>
      <c r="T150" s="20">
        <v>2022</v>
      </c>
      <c r="U150" s="20"/>
      <c r="V150" s="20"/>
      <c r="W150" s="20" t="s">
        <v>21</v>
      </c>
      <c r="X150" s="20" t="s">
        <v>751</v>
      </c>
      <c r="Y150" s="20"/>
      <c r="Z150" s="20"/>
      <c r="AA150" s="20"/>
      <c r="AB150" s="20" t="s">
        <v>752</v>
      </c>
      <c r="AC150" s="20">
        <v>796</v>
      </c>
      <c r="AD150" s="20"/>
      <c r="AE150" s="20"/>
      <c r="AF150" s="20"/>
      <c r="AG150" s="20" t="s">
        <v>750</v>
      </c>
      <c r="AH150" s="19">
        <v>22</v>
      </c>
      <c r="AI150" s="20"/>
      <c r="AJ150" s="20"/>
      <c r="AK150" s="20"/>
      <c r="AL150" s="20"/>
      <c r="AM150" s="24"/>
      <c r="AN150" s="59"/>
      <c r="AO150" s="12"/>
      <c r="AP150" s="60"/>
    </row>
    <row r="151" spans="1:42" ht="15.6" x14ac:dyDescent="0.3">
      <c r="A151" s="23"/>
      <c r="B151" s="20" t="s">
        <v>120</v>
      </c>
      <c r="C151" s="20"/>
      <c r="D151" s="20" t="s">
        <v>6</v>
      </c>
      <c r="E151" s="20"/>
      <c r="F151" s="66"/>
      <c r="G151" s="20"/>
      <c r="H151" s="20" t="s">
        <v>7</v>
      </c>
      <c r="I151" s="20" t="s">
        <v>36</v>
      </c>
      <c r="J151" s="50">
        <v>17094</v>
      </c>
      <c r="K151" s="50" t="s">
        <v>204</v>
      </c>
      <c r="L151" s="20" t="s">
        <v>13</v>
      </c>
      <c r="M151" s="20"/>
      <c r="N151" s="20"/>
      <c r="O151" s="20"/>
      <c r="P151" s="20"/>
      <c r="Q151" s="20"/>
      <c r="R151" s="20"/>
      <c r="S151" s="20"/>
      <c r="T151" s="20">
        <v>2008</v>
      </c>
      <c r="U151" s="20"/>
      <c r="V151" s="20"/>
      <c r="W151" s="20" t="s">
        <v>21</v>
      </c>
      <c r="X151" s="20" t="s">
        <v>8</v>
      </c>
      <c r="Y151" s="20"/>
      <c r="Z151" s="20"/>
      <c r="AA151" s="20"/>
      <c r="AB151" s="20"/>
      <c r="AC151" s="20"/>
      <c r="AD151" s="20"/>
      <c r="AE151" s="20"/>
      <c r="AF151" s="20"/>
      <c r="AG151" s="20"/>
      <c r="AH151" s="19"/>
      <c r="AI151" s="20"/>
      <c r="AJ151" s="20"/>
      <c r="AK151" s="20"/>
      <c r="AL151" s="20"/>
      <c r="AM151" s="24"/>
      <c r="AN151" s="59"/>
      <c r="AO151" s="12"/>
      <c r="AP151" s="60"/>
    </row>
    <row r="152" spans="1:42" ht="15.6" x14ac:dyDescent="0.3">
      <c r="A152" s="23"/>
      <c r="B152" s="20" t="s">
        <v>413</v>
      </c>
      <c r="C152" s="20"/>
      <c r="D152" s="20" t="s">
        <v>6</v>
      </c>
      <c r="E152" s="20"/>
      <c r="F152" s="66"/>
      <c r="G152" s="20"/>
      <c r="H152" s="20" t="s">
        <v>126</v>
      </c>
      <c r="I152" s="20" t="s">
        <v>412</v>
      </c>
      <c r="J152" s="50">
        <v>1148</v>
      </c>
      <c r="K152" s="50">
        <v>28058</v>
      </c>
      <c r="L152" s="20" t="s">
        <v>126</v>
      </c>
      <c r="M152" s="20"/>
      <c r="N152" s="20"/>
      <c r="O152" s="20"/>
      <c r="P152" s="20"/>
      <c r="Q152" s="20"/>
      <c r="R152" s="20"/>
      <c r="S152" s="20"/>
      <c r="T152" s="20">
        <v>2014</v>
      </c>
      <c r="U152" s="20"/>
      <c r="V152" s="20"/>
      <c r="W152" s="20" t="s">
        <v>21</v>
      </c>
      <c r="X152" s="20" t="s">
        <v>277</v>
      </c>
      <c r="Y152" s="20"/>
      <c r="Z152" s="20"/>
      <c r="AA152" s="20"/>
      <c r="AB152" s="20"/>
      <c r="AC152" s="20"/>
      <c r="AD152" s="20"/>
      <c r="AE152" s="20"/>
      <c r="AF152" s="20"/>
      <c r="AG152" s="20"/>
      <c r="AH152" s="19"/>
      <c r="AI152" s="20"/>
      <c r="AJ152" s="20"/>
      <c r="AK152" s="20"/>
      <c r="AL152" s="20"/>
      <c r="AM152" s="24"/>
      <c r="AN152" s="59"/>
      <c r="AO152" s="12"/>
      <c r="AP152" s="60"/>
    </row>
    <row r="153" spans="1:42" ht="15.6" x14ac:dyDescent="0.3">
      <c r="A153" s="23"/>
      <c r="B153" s="20" t="s">
        <v>915</v>
      </c>
      <c r="C153" s="20" t="s">
        <v>920</v>
      </c>
      <c r="D153" s="20" t="s">
        <v>6</v>
      </c>
      <c r="E153" s="20" t="s">
        <v>77</v>
      </c>
      <c r="F153" s="66" t="s">
        <v>921</v>
      </c>
      <c r="G153" s="20">
        <v>1964</v>
      </c>
      <c r="H153" s="20" t="s">
        <v>7</v>
      </c>
      <c r="I153" s="20" t="s">
        <v>918</v>
      </c>
      <c r="J153" s="50" t="s">
        <v>919</v>
      </c>
      <c r="K153" s="50">
        <v>21602</v>
      </c>
      <c r="L153" s="20" t="s">
        <v>14</v>
      </c>
      <c r="M153" s="20" t="s">
        <v>617</v>
      </c>
      <c r="N153" s="20" t="s">
        <v>1268</v>
      </c>
      <c r="O153" s="20" t="s">
        <v>1268</v>
      </c>
      <c r="P153" s="20"/>
      <c r="Q153" s="20"/>
      <c r="R153" s="20"/>
      <c r="S153" s="20"/>
      <c r="T153" s="20">
        <v>1994</v>
      </c>
      <c r="U153" s="20"/>
      <c r="V153" s="20"/>
      <c r="W153" s="20" t="s">
        <v>21</v>
      </c>
      <c r="X153" s="20" t="s">
        <v>277</v>
      </c>
      <c r="Y153" s="20"/>
      <c r="Z153" s="20"/>
      <c r="AA153" s="20"/>
      <c r="AB153" s="20" t="s">
        <v>917</v>
      </c>
      <c r="AC153" s="20">
        <v>327</v>
      </c>
      <c r="AD153" s="20"/>
      <c r="AE153" s="20"/>
      <c r="AF153" s="20"/>
      <c r="AG153" s="20" t="s">
        <v>916</v>
      </c>
      <c r="AH153" s="19">
        <v>8.8000000000000007</v>
      </c>
      <c r="AI153" s="20"/>
      <c r="AJ153" s="20"/>
      <c r="AK153" s="20"/>
      <c r="AL153" s="20"/>
      <c r="AM153" s="24"/>
      <c r="AN153" s="59"/>
      <c r="AO153" s="12"/>
      <c r="AP153" s="60"/>
    </row>
    <row r="154" spans="1:42" ht="15.6" x14ac:dyDescent="0.3">
      <c r="A154" s="23"/>
      <c r="B154" s="20" t="s">
        <v>59</v>
      </c>
      <c r="C154" s="20"/>
      <c r="D154" s="20" t="s">
        <v>6</v>
      </c>
      <c r="E154" s="20"/>
      <c r="F154" s="66"/>
      <c r="G154" s="20"/>
      <c r="H154" s="20" t="s">
        <v>21</v>
      </c>
      <c r="I154" s="20" t="s">
        <v>57</v>
      </c>
      <c r="J154" s="50" t="s">
        <v>213</v>
      </c>
      <c r="K154" s="50" t="s">
        <v>204</v>
      </c>
      <c r="L154" s="20" t="s">
        <v>22</v>
      </c>
      <c r="M154" s="20"/>
      <c r="N154" s="20"/>
      <c r="O154" s="20"/>
      <c r="P154" s="20"/>
      <c r="Q154" s="20"/>
      <c r="R154" s="20"/>
      <c r="S154" s="20"/>
      <c r="T154" s="20">
        <v>2016</v>
      </c>
      <c r="U154" s="20"/>
      <c r="V154" s="20"/>
      <c r="W154" s="20" t="s">
        <v>21</v>
      </c>
      <c r="X154" s="20" t="s">
        <v>58</v>
      </c>
      <c r="Y154" s="20"/>
      <c r="Z154" s="20"/>
      <c r="AA154" s="20"/>
      <c r="AB154" s="20"/>
      <c r="AC154" s="20"/>
      <c r="AD154" s="20"/>
      <c r="AE154" s="20"/>
      <c r="AF154" s="20"/>
      <c r="AG154" s="20"/>
      <c r="AH154" s="19"/>
      <c r="AI154" s="20"/>
      <c r="AJ154" s="20"/>
      <c r="AK154" s="20"/>
      <c r="AL154" s="20"/>
      <c r="AM154" s="24"/>
      <c r="AN154" s="59"/>
      <c r="AO154" s="12"/>
      <c r="AP154" s="60"/>
    </row>
    <row r="155" spans="1:42" ht="15.6" x14ac:dyDescent="0.3">
      <c r="A155" s="23"/>
      <c r="B155" s="20" t="s">
        <v>60</v>
      </c>
      <c r="C155" s="20"/>
      <c r="D155" s="20" t="s">
        <v>6</v>
      </c>
      <c r="E155" s="20"/>
      <c r="F155" s="66"/>
      <c r="G155" s="20"/>
      <c r="H155" s="20" t="s">
        <v>21</v>
      </c>
      <c r="I155" s="20" t="s">
        <v>57</v>
      </c>
      <c r="J155" s="50" t="s">
        <v>213</v>
      </c>
      <c r="K155" s="50" t="s">
        <v>204</v>
      </c>
      <c r="L155" s="20" t="s">
        <v>22</v>
      </c>
      <c r="M155" s="20"/>
      <c r="N155" s="20"/>
      <c r="O155" s="20"/>
      <c r="P155" s="20"/>
      <c r="Q155" s="20"/>
      <c r="R155" s="20"/>
      <c r="S155" s="20"/>
      <c r="T155" s="20">
        <v>2016</v>
      </c>
      <c r="U155" s="20"/>
      <c r="V155" s="20"/>
      <c r="W155" s="20" t="s">
        <v>21</v>
      </c>
      <c r="X155" s="20" t="s">
        <v>58</v>
      </c>
      <c r="Y155" s="20"/>
      <c r="Z155" s="20"/>
      <c r="AA155" s="20"/>
      <c r="AB155" s="20"/>
      <c r="AC155" s="20"/>
      <c r="AD155" s="20"/>
      <c r="AE155" s="20"/>
      <c r="AF155" s="20"/>
      <c r="AG155" s="20"/>
      <c r="AH155" s="19"/>
      <c r="AI155" s="20"/>
      <c r="AJ155" s="20"/>
      <c r="AK155" s="20"/>
      <c r="AL155" s="20"/>
      <c r="AM155" s="24"/>
      <c r="AN155" s="59"/>
      <c r="AO155" s="12"/>
      <c r="AP155" s="60"/>
    </row>
    <row r="156" spans="1:42" ht="15.6" x14ac:dyDescent="0.3">
      <c r="A156" s="23"/>
      <c r="B156" s="20" t="s">
        <v>61</v>
      </c>
      <c r="C156" s="20"/>
      <c r="D156" s="20" t="s">
        <v>6</v>
      </c>
      <c r="E156" s="20"/>
      <c r="F156" s="66"/>
      <c r="G156" s="20"/>
      <c r="H156" s="20" t="s">
        <v>21</v>
      </c>
      <c r="I156" s="20" t="s">
        <v>57</v>
      </c>
      <c r="J156" s="50" t="s">
        <v>213</v>
      </c>
      <c r="K156" s="50" t="s">
        <v>204</v>
      </c>
      <c r="L156" s="20" t="s">
        <v>22</v>
      </c>
      <c r="M156" s="20"/>
      <c r="N156" s="20"/>
      <c r="O156" s="20"/>
      <c r="P156" s="20"/>
      <c r="Q156" s="20"/>
      <c r="R156" s="20"/>
      <c r="S156" s="20"/>
      <c r="T156" s="20">
        <v>2017</v>
      </c>
      <c r="U156" s="20"/>
      <c r="V156" s="20"/>
      <c r="W156" s="20" t="s">
        <v>21</v>
      </c>
      <c r="X156" s="20" t="s">
        <v>58</v>
      </c>
      <c r="Y156" s="20"/>
      <c r="Z156" s="20"/>
      <c r="AA156" s="20"/>
      <c r="AB156" s="20"/>
      <c r="AC156" s="20"/>
      <c r="AD156" s="20"/>
      <c r="AE156" s="20"/>
      <c r="AF156" s="20"/>
      <c r="AG156" s="20"/>
      <c r="AH156" s="19"/>
      <c r="AI156" s="20"/>
      <c r="AJ156" s="20"/>
      <c r="AK156" s="20"/>
      <c r="AL156" s="20"/>
      <c r="AM156" s="24"/>
      <c r="AN156" s="59"/>
      <c r="AO156" s="12"/>
      <c r="AP156" s="60"/>
    </row>
    <row r="157" spans="1:42" ht="15.6" x14ac:dyDescent="0.3">
      <c r="A157" s="23"/>
      <c r="B157" s="20" t="s">
        <v>62</v>
      </c>
      <c r="C157" s="20"/>
      <c r="D157" s="20" t="s">
        <v>6</v>
      </c>
      <c r="E157" s="20"/>
      <c r="F157" s="66"/>
      <c r="G157" s="20"/>
      <c r="H157" s="20" t="s">
        <v>21</v>
      </c>
      <c r="I157" s="20" t="s">
        <v>57</v>
      </c>
      <c r="J157" s="50" t="s">
        <v>213</v>
      </c>
      <c r="K157" s="50" t="s">
        <v>204</v>
      </c>
      <c r="L157" s="20" t="s">
        <v>22</v>
      </c>
      <c r="M157" s="20"/>
      <c r="N157" s="20"/>
      <c r="O157" s="20"/>
      <c r="P157" s="20"/>
      <c r="Q157" s="20"/>
      <c r="R157" s="20"/>
      <c r="S157" s="20"/>
      <c r="T157" s="20">
        <v>2017</v>
      </c>
      <c r="U157" s="20"/>
      <c r="V157" s="20"/>
      <c r="W157" s="20" t="s">
        <v>21</v>
      </c>
      <c r="X157" s="20" t="s">
        <v>58</v>
      </c>
      <c r="Y157" s="20"/>
      <c r="Z157" s="20"/>
      <c r="AA157" s="20"/>
      <c r="AB157" s="20"/>
      <c r="AC157" s="20"/>
      <c r="AD157" s="20"/>
      <c r="AE157" s="20"/>
      <c r="AF157" s="20"/>
      <c r="AG157" s="20"/>
      <c r="AH157" s="19"/>
      <c r="AI157" s="20"/>
      <c r="AJ157" s="20"/>
      <c r="AK157" s="20"/>
      <c r="AL157" s="20"/>
      <c r="AM157" s="24"/>
      <c r="AN157" s="59"/>
      <c r="AO157" s="12"/>
      <c r="AP157" s="60"/>
    </row>
    <row r="158" spans="1:42" ht="15.6" x14ac:dyDescent="0.3">
      <c r="A158" s="23"/>
      <c r="B158" s="20" t="s">
        <v>817</v>
      </c>
      <c r="C158" s="20" t="s">
        <v>826</v>
      </c>
      <c r="D158" s="20" t="s">
        <v>6</v>
      </c>
      <c r="E158" s="20" t="s">
        <v>81</v>
      </c>
      <c r="F158" s="66" t="s">
        <v>829</v>
      </c>
      <c r="G158" s="20" t="s">
        <v>827</v>
      </c>
      <c r="H158" s="20" t="s">
        <v>65</v>
      </c>
      <c r="I158" s="20" t="s">
        <v>1211</v>
      </c>
      <c r="J158" s="50" t="s">
        <v>828</v>
      </c>
      <c r="K158" s="50">
        <v>9471</v>
      </c>
      <c r="L158" s="20" t="s">
        <v>64</v>
      </c>
      <c r="M158" s="20" t="s">
        <v>617</v>
      </c>
      <c r="N158" s="20" t="s">
        <v>825</v>
      </c>
      <c r="O158" s="20" t="s">
        <v>1268</v>
      </c>
      <c r="P158" s="20"/>
      <c r="Q158" s="20"/>
      <c r="R158" s="20"/>
      <c r="S158" s="20"/>
      <c r="T158" s="20">
        <v>1968</v>
      </c>
      <c r="U158" s="20"/>
      <c r="V158" s="20"/>
      <c r="W158" s="20" t="s">
        <v>21</v>
      </c>
      <c r="X158" s="20" t="s">
        <v>740</v>
      </c>
      <c r="Y158" s="20"/>
      <c r="Z158" s="20"/>
      <c r="AA158" s="20"/>
      <c r="AB158" s="20"/>
      <c r="AC158" s="20">
        <v>1025</v>
      </c>
      <c r="AD158" s="20"/>
      <c r="AE158" s="20"/>
      <c r="AF158" s="20"/>
      <c r="AG158" s="20" t="s">
        <v>824</v>
      </c>
      <c r="AH158" s="19">
        <f>(4200*14.8631)/1936.27</f>
        <v>32.239832254799175</v>
      </c>
      <c r="AI158" s="20" t="s">
        <v>1347</v>
      </c>
      <c r="AJ158" s="20"/>
      <c r="AK158" s="20"/>
      <c r="AL158" s="20"/>
      <c r="AM158" s="24"/>
      <c r="AN158" s="59"/>
      <c r="AO158" s="12"/>
      <c r="AP158" s="60"/>
    </row>
    <row r="159" spans="1:42" ht="15.6" x14ac:dyDescent="0.3">
      <c r="A159" s="23"/>
      <c r="B159" s="20" t="s">
        <v>258</v>
      </c>
      <c r="C159" s="20"/>
      <c r="D159" s="20" t="s">
        <v>6</v>
      </c>
      <c r="E159" s="20"/>
      <c r="F159" s="66"/>
      <c r="G159" s="20"/>
      <c r="H159" s="20" t="s">
        <v>7</v>
      </c>
      <c r="I159" s="20" t="s">
        <v>259</v>
      </c>
      <c r="J159" s="50">
        <v>12799</v>
      </c>
      <c r="K159" s="50" t="s">
        <v>204</v>
      </c>
      <c r="L159" s="20" t="s">
        <v>14</v>
      </c>
      <c r="M159" s="20"/>
      <c r="N159" s="20"/>
      <c r="O159" s="20"/>
      <c r="P159" s="20"/>
      <c r="Q159" s="20"/>
      <c r="R159" s="20"/>
      <c r="S159" s="20"/>
      <c r="T159" s="20">
        <v>1988</v>
      </c>
      <c r="U159" s="20"/>
      <c r="V159" s="20"/>
      <c r="W159" s="20" t="s">
        <v>21</v>
      </c>
      <c r="X159" s="20" t="s">
        <v>8</v>
      </c>
      <c r="Y159" s="20"/>
      <c r="Z159" s="20"/>
      <c r="AA159" s="20"/>
      <c r="AB159" s="20"/>
      <c r="AC159" s="20"/>
      <c r="AD159" s="20"/>
      <c r="AE159" s="20"/>
      <c r="AF159" s="20"/>
      <c r="AG159" s="20"/>
      <c r="AH159" s="19"/>
      <c r="AI159" s="20"/>
      <c r="AJ159" s="20"/>
      <c r="AK159" s="20"/>
      <c r="AL159" s="20"/>
      <c r="AM159" s="24"/>
      <c r="AN159" s="59"/>
      <c r="AO159" s="12"/>
      <c r="AP159" s="60"/>
    </row>
    <row r="160" spans="1:42" ht="15.6" x14ac:dyDescent="0.3">
      <c r="A160" s="23"/>
      <c r="B160" s="20" t="s">
        <v>420</v>
      </c>
      <c r="C160" s="20"/>
      <c r="D160" s="20" t="s">
        <v>106</v>
      </c>
      <c r="E160" s="20"/>
      <c r="F160" s="66"/>
      <c r="G160" s="20"/>
      <c r="H160" s="20" t="s">
        <v>126</v>
      </c>
      <c r="I160" s="20" t="s">
        <v>418</v>
      </c>
      <c r="J160" s="50" t="s">
        <v>419</v>
      </c>
      <c r="K160" s="50">
        <v>6911</v>
      </c>
      <c r="L160" s="20" t="s">
        <v>126</v>
      </c>
      <c r="M160" s="20"/>
      <c r="N160" s="20"/>
      <c r="O160" s="20"/>
      <c r="P160" s="20"/>
      <c r="Q160" s="20"/>
      <c r="R160" s="20"/>
      <c r="S160" s="20"/>
      <c r="T160" s="20">
        <v>2009</v>
      </c>
      <c r="U160" s="20"/>
      <c r="V160" s="20"/>
      <c r="W160" s="20" t="s">
        <v>21</v>
      </c>
      <c r="X160" s="20" t="s">
        <v>159</v>
      </c>
      <c r="Y160" s="20"/>
      <c r="Z160" s="20"/>
      <c r="AA160" s="20"/>
      <c r="AB160" s="20"/>
      <c r="AC160" s="20"/>
      <c r="AD160" s="20"/>
      <c r="AE160" s="20"/>
      <c r="AF160" s="20"/>
      <c r="AG160" s="20"/>
      <c r="AH160" s="19"/>
      <c r="AI160" s="20"/>
      <c r="AJ160" s="20"/>
      <c r="AK160" s="20"/>
      <c r="AL160" s="20"/>
      <c r="AM160" s="24"/>
      <c r="AN160" s="59"/>
      <c r="AO160" s="12"/>
      <c r="AP160" s="60"/>
    </row>
    <row r="161" spans="1:42" ht="15.6" x14ac:dyDescent="0.3">
      <c r="A161" s="23"/>
      <c r="B161" s="20" t="s">
        <v>177</v>
      </c>
      <c r="C161" s="20"/>
      <c r="D161" s="20" t="s">
        <v>6</v>
      </c>
      <c r="E161" s="20"/>
      <c r="F161" s="66"/>
      <c r="G161" s="20"/>
      <c r="H161" s="20" t="s">
        <v>7</v>
      </c>
      <c r="I161" s="20" t="s">
        <v>178</v>
      </c>
      <c r="J161" s="50">
        <v>32374</v>
      </c>
      <c r="K161" s="50" t="s">
        <v>204</v>
      </c>
      <c r="L161" s="20" t="s">
        <v>14</v>
      </c>
      <c r="M161" s="20"/>
      <c r="N161" s="20"/>
      <c r="O161" s="20"/>
      <c r="P161" s="20"/>
      <c r="Q161" s="20"/>
      <c r="R161" s="20"/>
      <c r="S161" s="20"/>
      <c r="T161" s="20">
        <v>2017</v>
      </c>
      <c r="U161" s="20"/>
      <c r="V161" s="20"/>
      <c r="W161" s="20" t="s">
        <v>21</v>
      </c>
      <c r="X161" s="20" t="s">
        <v>179</v>
      </c>
      <c r="Y161" s="20"/>
      <c r="Z161" s="20"/>
      <c r="AA161" s="20"/>
      <c r="AB161" s="20"/>
      <c r="AC161" s="20"/>
      <c r="AD161" s="20"/>
      <c r="AE161" s="20"/>
      <c r="AF161" s="20"/>
      <c r="AG161" s="20"/>
      <c r="AH161" s="19"/>
      <c r="AI161" s="20"/>
      <c r="AJ161" s="20"/>
      <c r="AK161" s="20"/>
      <c r="AL161" s="20"/>
      <c r="AM161" s="24"/>
      <c r="AN161" s="59"/>
      <c r="AO161" s="12"/>
      <c r="AP161" s="60"/>
    </row>
    <row r="162" spans="1:42" ht="15.6" x14ac:dyDescent="0.3">
      <c r="A162" s="23"/>
      <c r="B162" s="20" t="s">
        <v>30</v>
      </c>
      <c r="C162" s="20"/>
      <c r="D162" s="20" t="s">
        <v>6</v>
      </c>
      <c r="E162" s="20"/>
      <c r="F162" s="66"/>
      <c r="G162" s="20"/>
      <c r="H162" s="20" t="s">
        <v>7</v>
      </c>
      <c r="I162" s="20" t="s">
        <v>29</v>
      </c>
      <c r="J162" s="50">
        <v>26821</v>
      </c>
      <c r="K162" s="50" t="s">
        <v>204</v>
      </c>
      <c r="L162" s="20" t="s">
        <v>14</v>
      </c>
      <c r="M162" s="20"/>
      <c r="N162" s="20"/>
      <c r="O162" s="20"/>
      <c r="P162" s="20"/>
      <c r="Q162" s="20"/>
      <c r="R162" s="20"/>
      <c r="S162" s="20"/>
      <c r="T162" s="20">
        <v>2019</v>
      </c>
      <c r="U162" s="20"/>
      <c r="V162" s="20"/>
      <c r="W162" s="20" t="s">
        <v>21</v>
      </c>
      <c r="X162" s="20" t="s">
        <v>8</v>
      </c>
      <c r="Y162" s="20"/>
      <c r="Z162" s="20"/>
      <c r="AA162" s="20"/>
      <c r="AB162" s="20"/>
      <c r="AC162" s="20"/>
      <c r="AD162" s="20"/>
      <c r="AE162" s="20"/>
      <c r="AF162" s="20"/>
      <c r="AG162" s="20"/>
      <c r="AH162" s="19"/>
      <c r="AI162" s="20"/>
      <c r="AJ162" s="20"/>
      <c r="AK162" s="20"/>
      <c r="AL162" s="20"/>
      <c r="AM162" s="24"/>
      <c r="AN162" s="59"/>
      <c r="AO162" s="12"/>
      <c r="AP162" s="60"/>
    </row>
    <row r="163" spans="1:42" ht="15.6" x14ac:dyDescent="0.3">
      <c r="A163" s="23"/>
      <c r="B163" s="20" t="s">
        <v>32</v>
      </c>
      <c r="C163" s="20"/>
      <c r="D163" s="20" t="s">
        <v>6</v>
      </c>
      <c r="E163" s="20"/>
      <c r="F163" s="66"/>
      <c r="G163" s="20"/>
      <c r="H163" s="20" t="s">
        <v>7</v>
      </c>
      <c r="I163" s="20" t="s">
        <v>29</v>
      </c>
      <c r="J163" s="50">
        <v>26821</v>
      </c>
      <c r="K163" s="50" t="s">
        <v>204</v>
      </c>
      <c r="L163" s="20" t="s">
        <v>14</v>
      </c>
      <c r="M163" s="20"/>
      <c r="N163" s="20"/>
      <c r="O163" s="20"/>
      <c r="P163" s="20"/>
      <c r="Q163" s="20"/>
      <c r="R163" s="20"/>
      <c r="S163" s="20"/>
      <c r="T163" s="20">
        <v>2011</v>
      </c>
      <c r="U163" s="20"/>
      <c r="V163" s="20"/>
      <c r="W163" s="20" t="s">
        <v>21</v>
      </c>
      <c r="X163" s="20" t="s">
        <v>20</v>
      </c>
      <c r="Y163" s="20"/>
      <c r="Z163" s="20"/>
      <c r="AA163" s="20"/>
      <c r="AB163" s="20"/>
      <c r="AC163" s="20"/>
      <c r="AD163" s="20"/>
      <c r="AE163" s="20"/>
      <c r="AF163" s="20"/>
      <c r="AG163" s="20"/>
      <c r="AH163" s="19"/>
      <c r="AI163" s="20"/>
      <c r="AJ163" s="20"/>
      <c r="AK163" s="20"/>
      <c r="AL163" s="20"/>
      <c r="AM163" s="24"/>
      <c r="AN163" s="59"/>
      <c r="AO163" s="12"/>
      <c r="AP163" s="60"/>
    </row>
    <row r="164" spans="1:42" ht="15.6" x14ac:dyDescent="0.3">
      <c r="A164" s="23"/>
      <c r="B164" s="20" t="s">
        <v>31</v>
      </c>
      <c r="C164" s="20"/>
      <c r="D164" s="20" t="s">
        <v>6</v>
      </c>
      <c r="E164" s="20"/>
      <c r="F164" s="66"/>
      <c r="G164" s="20"/>
      <c r="H164" s="20" t="s">
        <v>7</v>
      </c>
      <c r="I164" s="20" t="s">
        <v>29</v>
      </c>
      <c r="J164" s="50">
        <v>26821</v>
      </c>
      <c r="K164" s="50" t="s">
        <v>204</v>
      </c>
      <c r="L164" s="20" t="s">
        <v>14</v>
      </c>
      <c r="M164" s="20"/>
      <c r="N164" s="20"/>
      <c r="O164" s="20"/>
      <c r="P164" s="20"/>
      <c r="Q164" s="20"/>
      <c r="R164" s="20"/>
      <c r="S164" s="20"/>
      <c r="T164" s="20">
        <v>2019</v>
      </c>
      <c r="U164" s="20"/>
      <c r="V164" s="20"/>
      <c r="W164" s="20" t="s">
        <v>21</v>
      </c>
      <c r="X164" s="20" t="s">
        <v>8</v>
      </c>
      <c r="Y164" s="20"/>
      <c r="Z164" s="20"/>
      <c r="AA164" s="20"/>
      <c r="AB164" s="20"/>
      <c r="AC164" s="20"/>
      <c r="AD164" s="20"/>
      <c r="AE164" s="20"/>
      <c r="AF164" s="20"/>
      <c r="AG164" s="20"/>
      <c r="AH164" s="19"/>
      <c r="AI164" s="20"/>
      <c r="AJ164" s="20"/>
      <c r="AK164" s="20"/>
      <c r="AL164" s="20"/>
      <c r="AM164" s="24"/>
      <c r="AN164" s="59"/>
      <c r="AO164" s="12"/>
      <c r="AP164" s="60"/>
    </row>
    <row r="165" spans="1:42" ht="15.6" x14ac:dyDescent="0.3">
      <c r="A165" s="23"/>
      <c r="B165" s="20" t="s">
        <v>145</v>
      </c>
      <c r="C165" s="20"/>
      <c r="D165" s="20" t="s">
        <v>106</v>
      </c>
      <c r="E165" s="20"/>
      <c r="F165" s="66"/>
      <c r="G165" s="20"/>
      <c r="H165" s="20" t="s">
        <v>7</v>
      </c>
      <c r="I165" s="20" t="s">
        <v>1196</v>
      </c>
      <c r="J165" s="50">
        <v>23954</v>
      </c>
      <c r="K165" s="50" t="s">
        <v>204</v>
      </c>
      <c r="L165" s="20" t="s">
        <v>13</v>
      </c>
      <c r="M165" s="20"/>
      <c r="N165" s="20"/>
      <c r="O165" s="20"/>
      <c r="P165" s="20"/>
      <c r="Q165" s="20"/>
      <c r="R165" s="20"/>
      <c r="S165" s="20"/>
      <c r="T165" s="20">
        <v>2017</v>
      </c>
      <c r="U165" s="20"/>
      <c r="V165" s="20"/>
      <c r="W165" s="20" t="s">
        <v>21</v>
      </c>
      <c r="X165" s="20" t="s">
        <v>143</v>
      </c>
      <c r="Y165" s="20"/>
      <c r="Z165" s="20"/>
      <c r="AA165" s="20"/>
      <c r="AB165" s="20"/>
      <c r="AC165" s="20"/>
      <c r="AD165" s="20" t="s">
        <v>1441</v>
      </c>
      <c r="AE165" s="20"/>
      <c r="AF165" s="20"/>
      <c r="AG165" s="20"/>
      <c r="AH165" s="19"/>
      <c r="AI165" s="20"/>
      <c r="AJ165" s="20"/>
      <c r="AK165" s="20"/>
      <c r="AL165" s="20"/>
      <c r="AM165" s="24"/>
      <c r="AN165" s="59"/>
      <c r="AO165" s="12"/>
      <c r="AP165" s="60"/>
    </row>
    <row r="166" spans="1:42" ht="15.6" x14ac:dyDescent="0.3">
      <c r="A166" s="23"/>
      <c r="B166" s="20" t="s">
        <v>146</v>
      </c>
      <c r="C166" s="20"/>
      <c r="D166" s="20" t="s">
        <v>106</v>
      </c>
      <c r="E166" s="20"/>
      <c r="F166" s="66"/>
      <c r="G166" s="20"/>
      <c r="H166" s="20" t="s">
        <v>7</v>
      </c>
      <c r="I166" s="20" t="s">
        <v>1196</v>
      </c>
      <c r="J166" s="50">
        <v>23954</v>
      </c>
      <c r="K166" s="50" t="s">
        <v>204</v>
      </c>
      <c r="L166" s="20" t="s">
        <v>13</v>
      </c>
      <c r="M166" s="20"/>
      <c r="N166" s="20"/>
      <c r="O166" s="20"/>
      <c r="P166" s="20"/>
      <c r="Q166" s="20"/>
      <c r="R166" s="20"/>
      <c r="S166" s="20"/>
      <c r="T166" s="20">
        <v>2018</v>
      </c>
      <c r="U166" s="20"/>
      <c r="V166" s="20"/>
      <c r="W166" s="20" t="s">
        <v>21</v>
      </c>
      <c r="X166" s="20" t="s">
        <v>143</v>
      </c>
      <c r="Y166" s="20"/>
      <c r="Z166" s="20"/>
      <c r="AA166" s="20"/>
      <c r="AB166" s="20"/>
      <c r="AC166" s="20"/>
      <c r="AD166" s="20" t="s">
        <v>1442</v>
      </c>
      <c r="AE166" s="20"/>
      <c r="AF166" s="20"/>
      <c r="AG166" s="20"/>
      <c r="AH166" s="19"/>
      <c r="AI166" s="20"/>
      <c r="AJ166" s="20"/>
      <c r="AK166" s="20"/>
      <c r="AL166" s="20"/>
      <c r="AM166" s="24"/>
      <c r="AN166" s="59"/>
      <c r="AO166" s="12"/>
      <c r="AP166" s="60"/>
    </row>
    <row r="167" spans="1:42" ht="15.6" x14ac:dyDescent="0.3">
      <c r="A167" s="23"/>
      <c r="B167" s="20" t="s">
        <v>137</v>
      </c>
      <c r="C167" s="20"/>
      <c r="D167" s="20" t="s">
        <v>6</v>
      </c>
      <c r="E167" s="20"/>
      <c r="F167" s="66"/>
      <c r="G167" s="20"/>
      <c r="H167" s="20" t="s">
        <v>7</v>
      </c>
      <c r="I167" s="20" t="s">
        <v>1196</v>
      </c>
      <c r="J167" s="50">
        <v>23954</v>
      </c>
      <c r="K167" s="50" t="s">
        <v>204</v>
      </c>
      <c r="L167" s="20" t="s">
        <v>13</v>
      </c>
      <c r="M167" s="20"/>
      <c r="N167" s="20"/>
      <c r="O167" s="20"/>
      <c r="P167" s="20"/>
      <c r="Q167" s="20"/>
      <c r="R167" s="20"/>
      <c r="S167" s="20"/>
      <c r="T167" s="20">
        <v>2014</v>
      </c>
      <c r="U167" s="20"/>
      <c r="V167" s="20"/>
      <c r="W167" s="20" t="s">
        <v>21</v>
      </c>
      <c r="X167" s="20" t="s">
        <v>143</v>
      </c>
      <c r="Y167" s="20"/>
      <c r="Z167" s="20"/>
      <c r="AA167" s="20"/>
      <c r="AB167" s="20"/>
      <c r="AC167" s="20"/>
      <c r="AD167" s="20" t="s">
        <v>1447</v>
      </c>
      <c r="AE167" s="20"/>
      <c r="AF167" s="20"/>
      <c r="AG167" s="20"/>
      <c r="AH167" s="19"/>
      <c r="AI167" s="20"/>
      <c r="AJ167" s="20"/>
      <c r="AK167" s="20"/>
      <c r="AL167" s="20"/>
      <c r="AM167" s="24"/>
      <c r="AN167" s="59"/>
      <c r="AO167" s="12"/>
      <c r="AP167" s="60"/>
    </row>
    <row r="168" spans="1:42" ht="15.6" x14ac:dyDescent="0.3">
      <c r="A168" s="23"/>
      <c r="B168" s="20" t="s">
        <v>138</v>
      </c>
      <c r="C168" s="20"/>
      <c r="D168" s="20" t="s">
        <v>6</v>
      </c>
      <c r="E168" s="20"/>
      <c r="F168" s="66"/>
      <c r="G168" s="20"/>
      <c r="H168" s="20" t="s">
        <v>7</v>
      </c>
      <c r="I168" s="20" t="s">
        <v>1196</v>
      </c>
      <c r="J168" s="50">
        <v>23954</v>
      </c>
      <c r="K168" s="50" t="s">
        <v>204</v>
      </c>
      <c r="L168" s="20" t="s">
        <v>13</v>
      </c>
      <c r="M168" s="20"/>
      <c r="N168" s="20"/>
      <c r="O168" s="20"/>
      <c r="P168" s="20"/>
      <c r="Q168" s="20"/>
      <c r="R168" s="20"/>
      <c r="S168" s="20"/>
      <c r="T168" s="20">
        <v>2014</v>
      </c>
      <c r="U168" s="20"/>
      <c r="V168" s="20"/>
      <c r="W168" s="20" t="s">
        <v>21</v>
      </c>
      <c r="X168" s="20" t="s">
        <v>143</v>
      </c>
      <c r="Y168" s="20"/>
      <c r="Z168" s="20"/>
      <c r="AA168" s="20"/>
      <c r="AB168" s="20"/>
      <c r="AC168" s="20"/>
      <c r="AD168" s="20" t="s">
        <v>1445</v>
      </c>
      <c r="AE168" s="20"/>
      <c r="AF168" s="20"/>
      <c r="AG168" s="20"/>
      <c r="AH168" s="19"/>
      <c r="AI168" s="20"/>
      <c r="AJ168" s="20"/>
      <c r="AK168" s="20"/>
      <c r="AL168" s="20"/>
      <c r="AM168" s="24"/>
      <c r="AN168" s="59"/>
      <c r="AO168" s="12"/>
      <c r="AP168" s="60"/>
    </row>
    <row r="169" spans="1:42" ht="15.6" x14ac:dyDescent="0.3">
      <c r="A169" s="23"/>
      <c r="B169" s="20" t="s">
        <v>139</v>
      </c>
      <c r="C169" s="20"/>
      <c r="D169" s="20" t="s">
        <v>6</v>
      </c>
      <c r="E169" s="20"/>
      <c r="F169" s="66"/>
      <c r="G169" s="20"/>
      <c r="H169" s="20" t="s">
        <v>7</v>
      </c>
      <c r="I169" s="20" t="s">
        <v>1196</v>
      </c>
      <c r="J169" s="50">
        <v>23954</v>
      </c>
      <c r="K169" s="50" t="s">
        <v>204</v>
      </c>
      <c r="L169" s="20" t="s">
        <v>13</v>
      </c>
      <c r="M169" s="20"/>
      <c r="N169" s="20"/>
      <c r="O169" s="20"/>
      <c r="P169" s="20"/>
      <c r="Q169" s="20"/>
      <c r="R169" s="20"/>
      <c r="S169" s="20"/>
      <c r="T169" s="20">
        <v>2014</v>
      </c>
      <c r="U169" s="20"/>
      <c r="V169" s="20"/>
      <c r="W169" s="20" t="s">
        <v>21</v>
      </c>
      <c r="X169" s="20" t="s">
        <v>143</v>
      </c>
      <c r="Y169" s="20"/>
      <c r="Z169" s="20"/>
      <c r="AA169" s="20"/>
      <c r="AB169" s="20"/>
      <c r="AC169" s="20"/>
      <c r="AD169" s="20" t="s">
        <v>1444</v>
      </c>
      <c r="AE169" s="20"/>
      <c r="AF169" s="20"/>
      <c r="AG169" s="20"/>
      <c r="AH169" s="19"/>
      <c r="AI169" s="20"/>
      <c r="AJ169" s="20"/>
      <c r="AK169" s="20"/>
      <c r="AL169" s="20"/>
      <c r="AM169" s="24"/>
      <c r="AN169" s="59"/>
      <c r="AO169" s="12"/>
      <c r="AP169" s="60"/>
    </row>
    <row r="170" spans="1:42" ht="15.6" x14ac:dyDescent="0.3">
      <c r="A170" s="23"/>
      <c r="B170" s="20" t="s">
        <v>141</v>
      </c>
      <c r="C170" s="20"/>
      <c r="D170" s="20" t="s">
        <v>6</v>
      </c>
      <c r="E170" s="20"/>
      <c r="F170" s="66"/>
      <c r="G170" s="20"/>
      <c r="H170" s="20" t="s">
        <v>7</v>
      </c>
      <c r="I170" s="20" t="s">
        <v>1196</v>
      </c>
      <c r="J170" s="50">
        <v>23954</v>
      </c>
      <c r="K170" s="50" t="s">
        <v>204</v>
      </c>
      <c r="L170" s="20" t="s">
        <v>13</v>
      </c>
      <c r="M170" s="20"/>
      <c r="N170" s="20"/>
      <c r="O170" s="20"/>
      <c r="P170" s="20"/>
      <c r="Q170" s="20"/>
      <c r="R170" s="20"/>
      <c r="S170" s="20"/>
      <c r="T170" s="20">
        <v>2015</v>
      </c>
      <c r="U170" s="20"/>
      <c r="V170" s="20"/>
      <c r="W170" s="20" t="s">
        <v>21</v>
      </c>
      <c r="X170" s="20" t="s">
        <v>143</v>
      </c>
      <c r="Y170" s="20"/>
      <c r="Z170" s="20"/>
      <c r="AA170" s="20"/>
      <c r="AB170" s="20"/>
      <c r="AC170" s="20"/>
      <c r="AD170" s="20"/>
      <c r="AE170" s="20"/>
      <c r="AF170" s="20"/>
      <c r="AG170" s="20"/>
      <c r="AH170" s="19"/>
      <c r="AI170" s="20"/>
      <c r="AJ170" s="20"/>
      <c r="AK170" s="20"/>
      <c r="AL170" s="20"/>
      <c r="AM170" s="24"/>
      <c r="AN170" s="59"/>
      <c r="AO170" s="12"/>
      <c r="AP170" s="60"/>
    </row>
    <row r="171" spans="1:42" ht="15.6" x14ac:dyDescent="0.3">
      <c r="A171" s="23"/>
      <c r="B171" s="20" t="s">
        <v>141</v>
      </c>
      <c r="C171" s="20"/>
      <c r="D171" s="20" t="s">
        <v>6</v>
      </c>
      <c r="E171" s="20"/>
      <c r="F171" s="66"/>
      <c r="G171" s="20"/>
      <c r="H171" s="20" t="s">
        <v>7</v>
      </c>
      <c r="I171" s="20" t="s">
        <v>1196</v>
      </c>
      <c r="J171" s="50">
        <v>23954</v>
      </c>
      <c r="K171" s="50" t="s">
        <v>204</v>
      </c>
      <c r="L171" s="20" t="s">
        <v>13</v>
      </c>
      <c r="M171" s="20"/>
      <c r="N171" s="20"/>
      <c r="O171" s="20"/>
      <c r="P171" s="20"/>
      <c r="Q171" s="20"/>
      <c r="R171" s="20"/>
      <c r="S171" s="20"/>
      <c r="T171" s="20">
        <v>2017</v>
      </c>
      <c r="U171" s="20"/>
      <c r="V171" s="20"/>
      <c r="W171" s="20" t="s">
        <v>21</v>
      </c>
      <c r="X171" s="20" t="s">
        <v>143</v>
      </c>
      <c r="Y171" s="20"/>
      <c r="Z171" s="20"/>
      <c r="AA171" s="20"/>
      <c r="AB171" s="20"/>
      <c r="AC171" s="20"/>
      <c r="AD171" s="20"/>
      <c r="AE171" s="20"/>
      <c r="AF171" s="20"/>
      <c r="AG171" s="20"/>
      <c r="AH171" s="19"/>
      <c r="AI171" s="20"/>
      <c r="AJ171" s="20"/>
      <c r="AK171" s="20"/>
      <c r="AL171" s="20"/>
      <c r="AM171" s="24"/>
      <c r="AN171" s="59"/>
      <c r="AO171" s="12"/>
      <c r="AP171" s="60"/>
    </row>
    <row r="172" spans="1:42" ht="15.6" x14ac:dyDescent="0.3">
      <c r="A172" s="23"/>
      <c r="B172" s="20" t="s">
        <v>136</v>
      </c>
      <c r="C172" s="20"/>
      <c r="D172" s="20" t="s">
        <v>6</v>
      </c>
      <c r="E172" s="20"/>
      <c r="F172" s="66"/>
      <c r="G172" s="20"/>
      <c r="H172" s="20" t="s">
        <v>7</v>
      </c>
      <c r="I172" s="20" t="s">
        <v>1196</v>
      </c>
      <c r="J172" s="50">
        <v>23954</v>
      </c>
      <c r="K172" s="50" t="s">
        <v>204</v>
      </c>
      <c r="L172" s="20" t="s">
        <v>13</v>
      </c>
      <c r="M172" s="20"/>
      <c r="N172" s="20"/>
      <c r="O172" s="20"/>
      <c r="P172" s="20"/>
      <c r="Q172" s="20"/>
      <c r="R172" s="20"/>
      <c r="S172" s="20"/>
      <c r="T172" s="20">
        <v>2013</v>
      </c>
      <c r="U172" s="20"/>
      <c r="V172" s="20"/>
      <c r="W172" s="20" t="s">
        <v>21</v>
      </c>
      <c r="X172" s="20" t="s">
        <v>143</v>
      </c>
      <c r="Y172" s="20"/>
      <c r="Z172" s="20"/>
      <c r="AA172" s="20"/>
      <c r="AB172" s="20"/>
      <c r="AC172" s="20"/>
      <c r="AD172" s="20"/>
      <c r="AE172" s="20"/>
      <c r="AF172" s="20"/>
      <c r="AG172" s="20"/>
      <c r="AH172" s="19"/>
      <c r="AI172" s="20"/>
      <c r="AJ172" s="20"/>
      <c r="AK172" s="20"/>
      <c r="AL172" s="20"/>
      <c r="AM172" s="24"/>
      <c r="AN172" s="59"/>
      <c r="AO172" s="12"/>
      <c r="AP172" s="60"/>
    </row>
    <row r="173" spans="1:42" ht="15.6" x14ac:dyDescent="0.3">
      <c r="A173" s="23"/>
      <c r="B173" s="20" t="s">
        <v>136</v>
      </c>
      <c r="C173" s="20"/>
      <c r="D173" s="20" t="s">
        <v>6</v>
      </c>
      <c r="E173" s="20"/>
      <c r="F173" s="66"/>
      <c r="G173" s="20"/>
      <c r="H173" s="20" t="s">
        <v>7</v>
      </c>
      <c r="I173" s="20" t="s">
        <v>1196</v>
      </c>
      <c r="J173" s="50">
        <v>23954</v>
      </c>
      <c r="K173" s="50" t="s">
        <v>204</v>
      </c>
      <c r="L173" s="20" t="s">
        <v>13</v>
      </c>
      <c r="M173" s="20"/>
      <c r="N173" s="20"/>
      <c r="O173" s="20"/>
      <c r="P173" s="20"/>
      <c r="Q173" s="20"/>
      <c r="R173" s="20"/>
      <c r="S173" s="20"/>
      <c r="T173" s="20">
        <v>2019</v>
      </c>
      <c r="U173" s="20"/>
      <c r="V173" s="20"/>
      <c r="W173" s="20" t="s">
        <v>21</v>
      </c>
      <c r="X173" s="20" t="s">
        <v>143</v>
      </c>
      <c r="Y173" s="20"/>
      <c r="Z173" s="20"/>
      <c r="AA173" s="20"/>
      <c r="AB173" s="20"/>
      <c r="AC173" s="20"/>
      <c r="AD173" s="20"/>
      <c r="AE173" s="20"/>
      <c r="AF173" s="20"/>
      <c r="AG173" s="20"/>
      <c r="AH173" s="19"/>
      <c r="AI173" s="20"/>
      <c r="AJ173" s="20"/>
      <c r="AK173" s="20"/>
      <c r="AL173" s="20"/>
      <c r="AM173" s="24"/>
      <c r="AN173" s="59"/>
      <c r="AO173" s="12"/>
      <c r="AP173" s="60"/>
    </row>
    <row r="174" spans="1:42" ht="15.6" x14ac:dyDescent="0.3">
      <c r="A174" s="23"/>
      <c r="B174" s="20" t="s">
        <v>135</v>
      </c>
      <c r="C174" s="20"/>
      <c r="D174" s="20" t="s">
        <v>6</v>
      </c>
      <c r="E174" s="20"/>
      <c r="F174" s="66"/>
      <c r="G174" s="20"/>
      <c r="H174" s="20" t="s">
        <v>7</v>
      </c>
      <c r="I174" s="20" t="s">
        <v>1196</v>
      </c>
      <c r="J174" s="50">
        <v>23954</v>
      </c>
      <c r="K174" s="50" t="s">
        <v>204</v>
      </c>
      <c r="L174" s="20" t="s">
        <v>13</v>
      </c>
      <c r="M174" s="20"/>
      <c r="N174" s="20"/>
      <c r="O174" s="20"/>
      <c r="P174" s="20"/>
      <c r="Q174" s="20"/>
      <c r="R174" s="20"/>
      <c r="S174" s="20"/>
      <c r="T174" s="20">
        <v>2013</v>
      </c>
      <c r="U174" s="20"/>
      <c r="V174" s="20"/>
      <c r="W174" s="20" t="s">
        <v>21</v>
      </c>
      <c r="X174" s="20" t="s">
        <v>143</v>
      </c>
      <c r="Y174" s="20"/>
      <c r="Z174" s="20"/>
      <c r="AA174" s="20"/>
      <c r="AB174" s="20"/>
      <c r="AC174" s="20"/>
      <c r="AD174" s="20"/>
      <c r="AE174" s="20"/>
      <c r="AF174" s="20"/>
      <c r="AG174" s="20"/>
      <c r="AH174" s="19"/>
      <c r="AI174" s="20"/>
      <c r="AJ174" s="20"/>
      <c r="AK174" s="20"/>
      <c r="AL174" s="20"/>
      <c r="AM174" s="24"/>
      <c r="AN174" s="59"/>
      <c r="AO174" s="12"/>
      <c r="AP174" s="60"/>
    </row>
    <row r="175" spans="1:42" ht="15.6" x14ac:dyDescent="0.3">
      <c r="A175" s="23"/>
      <c r="B175" s="20" t="s">
        <v>135</v>
      </c>
      <c r="C175" s="20"/>
      <c r="D175" s="20" t="s">
        <v>6</v>
      </c>
      <c r="E175" s="20"/>
      <c r="F175" s="66"/>
      <c r="G175" s="20"/>
      <c r="H175" s="20" t="s">
        <v>7</v>
      </c>
      <c r="I175" s="20" t="s">
        <v>1196</v>
      </c>
      <c r="J175" s="50">
        <v>23954</v>
      </c>
      <c r="K175" s="50" t="s">
        <v>204</v>
      </c>
      <c r="L175" s="20" t="s">
        <v>13</v>
      </c>
      <c r="M175" s="20"/>
      <c r="N175" s="20"/>
      <c r="O175" s="20"/>
      <c r="P175" s="20"/>
      <c r="Q175" s="20"/>
      <c r="R175" s="20"/>
      <c r="S175" s="20"/>
      <c r="T175" s="20">
        <v>2017</v>
      </c>
      <c r="U175" s="20"/>
      <c r="V175" s="20"/>
      <c r="W175" s="20" t="s">
        <v>21</v>
      </c>
      <c r="X175" s="20" t="s">
        <v>143</v>
      </c>
      <c r="Y175" s="20"/>
      <c r="Z175" s="20"/>
      <c r="AA175" s="20"/>
      <c r="AB175" s="20"/>
      <c r="AC175" s="20"/>
      <c r="AD175" s="20"/>
      <c r="AE175" s="20"/>
      <c r="AF175" s="20"/>
      <c r="AG175" s="20"/>
      <c r="AH175" s="19"/>
      <c r="AI175" s="20"/>
      <c r="AJ175" s="20"/>
      <c r="AK175" s="20"/>
      <c r="AL175" s="20"/>
      <c r="AM175" s="24"/>
      <c r="AN175" s="59"/>
      <c r="AO175" s="12"/>
      <c r="AP175" s="60"/>
    </row>
    <row r="176" spans="1:42" ht="15.6" x14ac:dyDescent="0.3">
      <c r="A176" s="23"/>
      <c r="B176" s="20" t="s">
        <v>134</v>
      </c>
      <c r="C176" s="20"/>
      <c r="D176" s="20" t="s">
        <v>6</v>
      </c>
      <c r="E176" s="20"/>
      <c r="F176" s="66"/>
      <c r="G176" s="20"/>
      <c r="H176" s="20" t="s">
        <v>7</v>
      </c>
      <c r="I176" s="20" t="s">
        <v>1196</v>
      </c>
      <c r="J176" s="50">
        <v>23954</v>
      </c>
      <c r="K176" s="50" t="s">
        <v>204</v>
      </c>
      <c r="L176" s="20" t="s">
        <v>13</v>
      </c>
      <c r="M176" s="20"/>
      <c r="N176" s="20"/>
      <c r="O176" s="20"/>
      <c r="P176" s="20"/>
      <c r="Q176" s="20"/>
      <c r="R176" s="20"/>
      <c r="S176" s="20"/>
      <c r="T176" s="20">
        <v>2013</v>
      </c>
      <c r="U176" s="20"/>
      <c r="V176" s="20"/>
      <c r="W176" s="20" t="s">
        <v>21</v>
      </c>
      <c r="X176" s="20" t="s">
        <v>143</v>
      </c>
      <c r="Y176" s="20"/>
      <c r="Z176" s="20"/>
      <c r="AA176" s="20"/>
      <c r="AB176" s="20"/>
      <c r="AC176" s="20"/>
      <c r="AD176" s="20"/>
      <c r="AE176" s="20"/>
      <c r="AF176" s="20"/>
      <c r="AG176" s="20"/>
      <c r="AH176" s="19"/>
      <c r="AI176" s="20"/>
      <c r="AJ176" s="20"/>
      <c r="AK176" s="20"/>
      <c r="AL176" s="20"/>
      <c r="AM176" s="24"/>
      <c r="AN176" s="59"/>
      <c r="AO176" s="12"/>
      <c r="AP176" s="60"/>
    </row>
    <row r="177" spans="1:42" ht="15.6" x14ac:dyDescent="0.3">
      <c r="A177" s="23"/>
      <c r="B177" s="20" t="s">
        <v>134</v>
      </c>
      <c r="C177" s="20"/>
      <c r="D177" s="20" t="s">
        <v>6</v>
      </c>
      <c r="E177" s="20"/>
      <c r="F177" s="66"/>
      <c r="G177" s="20"/>
      <c r="H177" s="20" t="s">
        <v>7</v>
      </c>
      <c r="I177" s="20" t="s">
        <v>1196</v>
      </c>
      <c r="J177" s="50">
        <v>23954</v>
      </c>
      <c r="K177" s="50" t="s">
        <v>204</v>
      </c>
      <c r="L177" s="20" t="s">
        <v>13</v>
      </c>
      <c r="M177" s="20"/>
      <c r="N177" s="20"/>
      <c r="O177" s="20"/>
      <c r="P177" s="20"/>
      <c r="Q177" s="20"/>
      <c r="R177" s="20"/>
      <c r="S177" s="20"/>
      <c r="T177" s="20">
        <v>2016</v>
      </c>
      <c r="U177" s="20"/>
      <c r="V177" s="20"/>
      <c r="W177" s="20" t="s">
        <v>21</v>
      </c>
      <c r="X177" s="20" t="s">
        <v>143</v>
      </c>
      <c r="Y177" s="20"/>
      <c r="Z177" s="20"/>
      <c r="AA177" s="20"/>
      <c r="AB177" s="20"/>
      <c r="AC177" s="20"/>
      <c r="AD177" s="20"/>
      <c r="AE177" s="20"/>
      <c r="AF177" s="20"/>
      <c r="AG177" s="20"/>
      <c r="AH177" s="19"/>
      <c r="AI177" s="20"/>
      <c r="AJ177" s="20"/>
      <c r="AK177" s="20"/>
      <c r="AL177" s="20"/>
      <c r="AM177" s="24"/>
      <c r="AN177" s="59"/>
      <c r="AO177" s="12"/>
      <c r="AP177" s="60"/>
    </row>
    <row r="178" spans="1:42" ht="15.6" x14ac:dyDescent="0.3">
      <c r="A178" s="23"/>
      <c r="B178" s="20" t="s">
        <v>133</v>
      </c>
      <c r="C178" s="20"/>
      <c r="D178" s="20" t="s">
        <v>6</v>
      </c>
      <c r="E178" s="20"/>
      <c r="F178" s="66"/>
      <c r="G178" s="20"/>
      <c r="H178" s="20" t="s">
        <v>7</v>
      </c>
      <c r="I178" s="20" t="s">
        <v>1196</v>
      </c>
      <c r="J178" s="50">
        <v>23954</v>
      </c>
      <c r="K178" s="50" t="s">
        <v>204</v>
      </c>
      <c r="L178" s="20" t="s">
        <v>13</v>
      </c>
      <c r="M178" s="20"/>
      <c r="N178" s="20"/>
      <c r="O178" s="20"/>
      <c r="P178" s="20"/>
      <c r="Q178" s="20"/>
      <c r="R178" s="20"/>
      <c r="S178" s="20"/>
      <c r="T178" s="20">
        <v>2013</v>
      </c>
      <c r="U178" s="20"/>
      <c r="V178" s="20"/>
      <c r="W178" s="20" t="s">
        <v>21</v>
      </c>
      <c r="X178" s="20" t="s">
        <v>143</v>
      </c>
      <c r="Y178" s="20"/>
      <c r="Z178" s="20"/>
      <c r="AA178" s="20"/>
      <c r="AB178" s="20"/>
      <c r="AC178" s="20"/>
      <c r="AD178" s="20"/>
      <c r="AE178" s="20"/>
      <c r="AF178" s="20"/>
      <c r="AG178" s="20"/>
      <c r="AH178" s="19"/>
      <c r="AI178" s="20"/>
      <c r="AJ178" s="20"/>
      <c r="AK178" s="20"/>
      <c r="AL178" s="20"/>
      <c r="AM178" s="24"/>
      <c r="AN178" s="59"/>
      <c r="AO178" s="12"/>
      <c r="AP178" s="60"/>
    </row>
    <row r="179" spans="1:42" ht="15.6" x14ac:dyDescent="0.3">
      <c r="A179" s="23"/>
      <c r="B179" s="20" t="s">
        <v>133</v>
      </c>
      <c r="C179" s="20"/>
      <c r="D179" s="20" t="s">
        <v>6</v>
      </c>
      <c r="E179" s="20"/>
      <c r="F179" s="66"/>
      <c r="G179" s="20"/>
      <c r="H179" s="20" t="s">
        <v>7</v>
      </c>
      <c r="I179" s="20" t="s">
        <v>1196</v>
      </c>
      <c r="J179" s="50">
        <v>23954</v>
      </c>
      <c r="K179" s="50" t="s">
        <v>204</v>
      </c>
      <c r="L179" s="20" t="s">
        <v>13</v>
      </c>
      <c r="M179" s="20"/>
      <c r="N179" s="20"/>
      <c r="O179" s="20"/>
      <c r="P179" s="20"/>
      <c r="Q179" s="20"/>
      <c r="R179" s="20"/>
      <c r="S179" s="20"/>
      <c r="T179" s="20">
        <v>2015</v>
      </c>
      <c r="U179" s="20"/>
      <c r="V179" s="20"/>
      <c r="W179" s="20" t="s">
        <v>21</v>
      </c>
      <c r="X179" s="20" t="s">
        <v>143</v>
      </c>
      <c r="Y179" s="20"/>
      <c r="Z179" s="20"/>
      <c r="AA179" s="20"/>
      <c r="AB179" s="20"/>
      <c r="AC179" s="20"/>
      <c r="AD179" s="20"/>
      <c r="AE179" s="20"/>
      <c r="AF179" s="20"/>
      <c r="AG179" s="20"/>
      <c r="AH179" s="19"/>
      <c r="AI179" s="20"/>
      <c r="AJ179" s="20"/>
      <c r="AK179" s="20"/>
      <c r="AL179" s="20"/>
      <c r="AM179" s="24"/>
      <c r="AN179" s="59"/>
      <c r="AO179" s="12"/>
      <c r="AP179" s="60"/>
    </row>
    <row r="180" spans="1:42" ht="15.6" x14ac:dyDescent="0.3">
      <c r="A180" s="23"/>
      <c r="B180" s="20" t="s">
        <v>132</v>
      </c>
      <c r="C180" s="20"/>
      <c r="D180" s="20" t="s">
        <v>6</v>
      </c>
      <c r="E180" s="20"/>
      <c r="F180" s="66"/>
      <c r="G180" s="20"/>
      <c r="H180" s="20" t="s">
        <v>7</v>
      </c>
      <c r="I180" s="20" t="s">
        <v>1196</v>
      </c>
      <c r="J180" s="50">
        <v>23954</v>
      </c>
      <c r="K180" s="50" t="s">
        <v>204</v>
      </c>
      <c r="L180" s="20" t="s">
        <v>13</v>
      </c>
      <c r="M180" s="20"/>
      <c r="N180" s="20"/>
      <c r="O180" s="20"/>
      <c r="P180" s="20"/>
      <c r="Q180" s="20"/>
      <c r="R180" s="20"/>
      <c r="S180" s="20"/>
      <c r="T180" s="20">
        <v>2014</v>
      </c>
      <c r="U180" s="20"/>
      <c r="V180" s="20"/>
      <c r="W180" s="20" t="s">
        <v>7</v>
      </c>
      <c r="X180" s="20" t="s">
        <v>131</v>
      </c>
      <c r="Y180" s="20"/>
      <c r="Z180" s="20"/>
      <c r="AA180" s="20"/>
      <c r="AB180" s="20"/>
      <c r="AC180" s="20"/>
      <c r="AD180" s="20"/>
      <c r="AE180" s="20"/>
      <c r="AF180" s="20"/>
      <c r="AG180" s="20"/>
      <c r="AH180" s="19"/>
      <c r="AI180" s="20"/>
      <c r="AJ180" s="20"/>
      <c r="AK180" s="20"/>
      <c r="AL180" s="20"/>
      <c r="AM180" s="24"/>
      <c r="AN180" s="59"/>
      <c r="AO180" s="12"/>
      <c r="AP180" s="60"/>
    </row>
    <row r="181" spans="1:42" ht="15.6" x14ac:dyDescent="0.3">
      <c r="A181" s="23"/>
      <c r="B181" s="20" t="s">
        <v>142</v>
      </c>
      <c r="C181" s="20"/>
      <c r="D181" s="20" t="s">
        <v>6</v>
      </c>
      <c r="E181" s="20"/>
      <c r="F181" s="66"/>
      <c r="G181" s="20"/>
      <c r="H181" s="20" t="s">
        <v>7</v>
      </c>
      <c r="I181" s="20" t="s">
        <v>1196</v>
      </c>
      <c r="J181" s="50">
        <v>23954</v>
      </c>
      <c r="K181" s="50" t="s">
        <v>204</v>
      </c>
      <c r="L181" s="20" t="s">
        <v>13</v>
      </c>
      <c r="M181" s="20"/>
      <c r="N181" s="20"/>
      <c r="O181" s="20"/>
      <c r="P181" s="20"/>
      <c r="Q181" s="20"/>
      <c r="R181" s="20"/>
      <c r="S181" s="20"/>
      <c r="T181" s="20">
        <v>2015</v>
      </c>
      <c r="U181" s="20"/>
      <c r="V181" s="20"/>
      <c r="W181" s="20" t="s">
        <v>21</v>
      </c>
      <c r="X181" s="20" t="s">
        <v>143</v>
      </c>
      <c r="Y181" s="20"/>
      <c r="Z181" s="20"/>
      <c r="AA181" s="20"/>
      <c r="AB181" s="20"/>
      <c r="AC181" s="20"/>
      <c r="AD181" s="20"/>
      <c r="AE181" s="20"/>
      <c r="AF181" s="20"/>
      <c r="AG181" s="20"/>
      <c r="AH181" s="19"/>
      <c r="AI181" s="20"/>
      <c r="AJ181" s="20"/>
      <c r="AK181" s="20"/>
      <c r="AL181" s="20"/>
      <c r="AM181" s="24"/>
      <c r="AN181" s="59"/>
      <c r="AO181" s="12"/>
      <c r="AP181" s="60"/>
    </row>
    <row r="182" spans="1:42" ht="15.6" x14ac:dyDescent="0.3">
      <c r="A182" s="23"/>
      <c r="B182" s="20" t="s">
        <v>142</v>
      </c>
      <c r="C182" s="20"/>
      <c r="D182" s="20" t="s">
        <v>6</v>
      </c>
      <c r="E182" s="20"/>
      <c r="F182" s="66"/>
      <c r="G182" s="20"/>
      <c r="H182" s="20" t="s">
        <v>7</v>
      </c>
      <c r="I182" s="20" t="s">
        <v>1196</v>
      </c>
      <c r="J182" s="50">
        <v>23954</v>
      </c>
      <c r="K182" s="50" t="s">
        <v>204</v>
      </c>
      <c r="L182" s="20" t="s">
        <v>13</v>
      </c>
      <c r="M182" s="20"/>
      <c r="N182" s="20"/>
      <c r="O182" s="20"/>
      <c r="P182" s="20"/>
      <c r="Q182" s="20"/>
      <c r="R182" s="20"/>
      <c r="S182" s="20"/>
      <c r="T182" s="20">
        <v>2020</v>
      </c>
      <c r="U182" s="20"/>
      <c r="V182" s="20"/>
      <c r="W182" s="20" t="s">
        <v>21</v>
      </c>
      <c r="X182" s="20" t="s">
        <v>143</v>
      </c>
      <c r="Y182" s="20"/>
      <c r="Z182" s="20"/>
      <c r="AA182" s="20"/>
      <c r="AB182" s="20"/>
      <c r="AC182" s="20"/>
      <c r="AD182" s="20"/>
      <c r="AE182" s="20"/>
      <c r="AF182" s="20"/>
      <c r="AG182" s="20"/>
      <c r="AH182" s="19"/>
      <c r="AI182" s="20"/>
      <c r="AJ182" s="20"/>
      <c r="AK182" s="20"/>
      <c r="AL182" s="20"/>
      <c r="AM182" s="24"/>
      <c r="AN182" s="59"/>
      <c r="AO182" s="12"/>
      <c r="AP182" s="60"/>
    </row>
    <row r="183" spans="1:42" ht="15.6" x14ac:dyDescent="0.3">
      <c r="A183" s="23"/>
      <c r="B183" s="20" t="s">
        <v>140</v>
      </c>
      <c r="C183" s="20"/>
      <c r="D183" s="20" t="s">
        <v>6</v>
      </c>
      <c r="E183" s="20"/>
      <c r="F183" s="66"/>
      <c r="G183" s="20"/>
      <c r="H183" s="20" t="s">
        <v>7</v>
      </c>
      <c r="I183" s="20" t="s">
        <v>1196</v>
      </c>
      <c r="J183" s="50">
        <v>23954</v>
      </c>
      <c r="K183" s="50" t="s">
        <v>204</v>
      </c>
      <c r="L183" s="20" t="s">
        <v>13</v>
      </c>
      <c r="M183" s="20"/>
      <c r="N183" s="20"/>
      <c r="O183" s="20"/>
      <c r="P183" s="20"/>
      <c r="Q183" s="20"/>
      <c r="R183" s="20"/>
      <c r="S183" s="20"/>
      <c r="T183" s="20">
        <v>2015</v>
      </c>
      <c r="U183" s="20"/>
      <c r="V183" s="20"/>
      <c r="W183" s="20" t="s">
        <v>21</v>
      </c>
      <c r="X183" s="20" t="s">
        <v>143</v>
      </c>
      <c r="Y183" s="20"/>
      <c r="Z183" s="20"/>
      <c r="AA183" s="20"/>
      <c r="AB183" s="20"/>
      <c r="AC183" s="20"/>
      <c r="AD183" s="20"/>
      <c r="AE183" s="20"/>
      <c r="AF183" s="20"/>
      <c r="AG183" s="20"/>
      <c r="AH183" s="19"/>
      <c r="AI183" s="20"/>
      <c r="AJ183" s="20"/>
      <c r="AK183" s="20"/>
      <c r="AL183" s="20"/>
      <c r="AM183" s="24"/>
      <c r="AN183" s="59"/>
      <c r="AO183" s="12"/>
      <c r="AP183" s="60"/>
    </row>
    <row r="184" spans="1:42" ht="15.6" x14ac:dyDescent="0.3">
      <c r="A184" s="23"/>
      <c r="B184" s="20" t="s">
        <v>140</v>
      </c>
      <c r="C184" s="20"/>
      <c r="D184" s="20" t="s">
        <v>6</v>
      </c>
      <c r="E184" s="20"/>
      <c r="F184" s="66"/>
      <c r="G184" s="20"/>
      <c r="H184" s="20" t="s">
        <v>7</v>
      </c>
      <c r="I184" s="20" t="s">
        <v>1196</v>
      </c>
      <c r="J184" s="50">
        <v>23954</v>
      </c>
      <c r="K184" s="50" t="s">
        <v>204</v>
      </c>
      <c r="L184" s="20" t="s">
        <v>13</v>
      </c>
      <c r="M184" s="20"/>
      <c r="N184" s="20"/>
      <c r="O184" s="20"/>
      <c r="P184" s="20"/>
      <c r="Q184" s="20"/>
      <c r="R184" s="20"/>
      <c r="S184" s="20"/>
      <c r="T184" s="20">
        <v>2018</v>
      </c>
      <c r="U184" s="20"/>
      <c r="V184" s="20"/>
      <c r="W184" s="20" t="s">
        <v>21</v>
      </c>
      <c r="X184" s="20" t="s">
        <v>143</v>
      </c>
      <c r="Y184" s="20"/>
      <c r="Z184" s="20"/>
      <c r="AA184" s="20"/>
      <c r="AB184" s="20"/>
      <c r="AC184" s="20"/>
      <c r="AD184" s="20"/>
      <c r="AE184" s="20"/>
      <c r="AF184" s="20"/>
      <c r="AG184" s="20"/>
      <c r="AH184" s="19"/>
      <c r="AI184" s="20"/>
      <c r="AJ184" s="20"/>
      <c r="AK184" s="20"/>
      <c r="AL184" s="20"/>
      <c r="AM184" s="24"/>
      <c r="AN184" s="59"/>
      <c r="AO184" s="12"/>
      <c r="AP184" s="60"/>
    </row>
    <row r="185" spans="1:42" ht="15.6" x14ac:dyDescent="0.3">
      <c r="A185" s="23"/>
      <c r="B185" s="20" t="s">
        <v>147</v>
      </c>
      <c r="C185" s="20"/>
      <c r="D185" s="20" t="s">
        <v>106</v>
      </c>
      <c r="E185" s="20"/>
      <c r="F185" s="66"/>
      <c r="G185" s="20"/>
      <c r="H185" s="20" t="s">
        <v>7</v>
      </c>
      <c r="I185" s="20" t="s">
        <v>1252</v>
      </c>
      <c r="J185" s="50" t="s">
        <v>218</v>
      </c>
      <c r="K185" s="50" t="s">
        <v>205</v>
      </c>
      <c r="L185" s="20" t="s">
        <v>149</v>
      </c>
      <c r="M185" s="20"/>
      <c r="N185" s="20"/>
      <c r="O185" s="20"/>
      <c r="P185" s="20"/>
      <c r="Q185" s="20"/>
      <c r="R185" s="20"/>
      <c r="S185" s="20"/>
      <c r="T185" s="20">
        <v>2022</v>
      </c>
      <c r="U185" s="20"/>
      <c r="V185" s="20"/>
      <c r="W185" s="20" t="s">
        <v>21</v>
      </c>
      <c r="X185" s="20" t="s">
        <v>143</v>
      </c>
      <c r="Y185" s="20"/>
      <c r="Z185" s="20"/>
      <c r="AA185" s="20"/>
      <c r="AB185" s="20"/>
      <c r="AC185" s="20"/>
      <c r="AD185" s="20" t="s">
        <v>1443</v>
      </c>
      <c r="AE185" s="20"/>
      <c r="AF185" s="20"/>
      <c r="AG185" s="20"/>
      <c r="AH185" s="19"/>
      <c r="AI185" s="20"/>
      <c r="AJ185" s="20"/>
      <c r="AK185" s="20"/>
      <c r="AL185" s="20"/>
      <c r="AM185" s="24"/>
      <c r="AN185" s="59"/>
      <c r="AO185" s="12"/>
      <c r="AP185" s="60"/>
    </row>
    <row r="186" spans="1:42" ht="15.6" x14ac:dyDescent="0.3">
      <c r="A186" s="23"/>
      <c r="B186" s="20" t="s">
        <v>144</v>
      </c>
      <c r="C186" s="20"/>
      <c r="D186" s="20" t="s">
        <v>106</v>
      </c>
      <c r="E186" s="20"/>
      <c r="F186" s="66"/>
      <c r="G186" s="20"/>
      <c r="H186" s="20" t="s">
        <v>7</v>
      </c>
      <c r="I186" s="20" t="s">
        <v>1197</v>
      </c>
      <c r="J186" s="50" t="s">
        <v>220</v>
      </c>
      <c r="K186" s="50" t="s">
        <v>219</v>
      </c>
      <c r="L186" s="20" t="s">
        <v>148</v>
      </c>
      <c r="M186" s="20"/>
      <c r="N186" s="20"/>
      <c r="O186" s="20"/>
      <c r="P186" s="20"/>
      <c r="Q186" s="20"/>
      <c r="R186" s="20"/>
      <c r="S186" s="20"/>
      <c r="T186" s="20">
        <v>2016</v>
      </c>
      <c r="U186" s="20"/>
      <c r="V186" s="20"/>
      <c r="W186" s="20" t="s">
        <v>21</v>
      </c>
      <c r="X186" s="20" t="s">
        <v>143</v>
      </c>
      <c r="Y186" s="20"/>
      <c r="Z186" s="20"/>
      <c r="AA186" s="20"/>
      <c r="AB186" s="20"/>
      <c r="AC186" s="20"/>
      <c r="AD186" s="20" t="s">
        <v>1446</v>
      </c>
      <c r="AE186" s="20"/>
      <c r="AF186" s="20"/>
      <c r="AG186" s="20"/>
      <c r="AH186" s="19"/>
      <c r="AI186" s="20"/>
      <c r="AJ186" s="20"/>
      <c r="AK186" s="20"/>
      <c r="AL186" s="20"/>
      <c r="AM186" s="24"/>
      <c r="AN186" s="59"/>
      <c r="AO186" s="12"/>
      <c r="AP186" s="60"/>
    </row>
    <row r="187" spans="1:42" ht="15.6" x14ac:dyDescent="0.3">
      <c r="A187" s="23"/>
      <c r="B187" s="20" t="s">
        <v>37</v>
      </c>
      <c r="C187" s="20"/>
      <c r="D187" s="20" t="s">
        <v>6</v>
      </c>
      <c r="E187" s="20"/>
      <c r="F187" s="66"/>
      <c r="G187" s="20"/>
      <c r="H187" s="20" t="s">
        <v>7</v>
      </c>
      <c r="I187" s="20" t="s">
        <v>38</v>
      </c>
      <c r="J187" s="50">
        <v>17337</v>
      </c>
      <c r="K187" s="50" t="s">
        <v>204</v>
      </c>
      <c r="L187" s="20" t="s">
        <v>13</v>
      </c>
      <c r="M187" s="20"/>
      <c r="N187" s="20"/>
      <c r="O187" s="20"/>
      <c r="P187" s="20"/>
      <c r="Q187" s="20"/>
      <c r="R187" s="20"/>
      <c r="S187" s="20"/>
      <c r="T187" s="20">
        <v>1987</v>
      </c>
      <c r="U187" s="20"/>
      <c r="V187" s="20"/>
      <c r="W187" s="20" t="s">
        <v>21</v>
      </c>
      <c r="X187" s="20" t="s">
        <v>39</v>
      </c>
      <c r="Y187" s="20"/>
      <c r="Z187" s="20"/>
      <c r="AA187" s="20"/>
      <c r="AB187" s="20"/>
      <c r="AC187" s="20"/>
      <c r="AD187" s="20"/>
      <c r="AE187" s="20"/>
      <c r="AF187" s="20"/>
      <c r="AG187" s="20"/>
      <c r="AH187" s="19"/>
      <c r="AI187" s="20"/>
      <c r="AJ187" s="20"/>
      <c r="AK187" s="20"/>
      <c r="AL187" s="20"/>
      <c r="AM187" s="24"/>
      <c r="AN187" s="59"/>
      <c r="AO187" s="12"/>
      <c r="AP187" s="60"/>
    </row>
    <row r="188" spans="1:42" ht="15.6" x14ac:dyDescent="0.3">
      <c r="A188" s="23"/>
      <c r="B188" s="20" t="s">
        <v>72</v>
      </c>
      <c r="C188" s="20"/>
      <c r="D188" s="20" t="s">
        <v>6</v>
      </c>
      <c r="E188" s="20"/>
      <c r="F188" s="66"/>
      <c r="G188" s="20"/>
      <c r="H188" s="20" t="s">
        <v>65</v>
      </c>
      <c r="I188" s="20" t="s">
        <v>63</v>
      </c>
      <c r="J188" s="50">
        <v>17705</v>
      </c>
      <c r="K188" s="50" t="s">
        <v>204</v>
      </c>
      <c r="L188" s="20" t="s">
        <v>64</v>
      </c>
      <c r="M188" s="20"/>
      <c r="N188" s="20"/>
      <c r="O188" s="20"/>
      <c r="P188" s="20"/>
      <c r="Q188" s="20"/>
      <c r="R188" s="20"/>
      <c r="S188" s="20"/>
      <c r="T188" s="20">
        <v>2014</v>
      </c>
      <c r="U188" s="20"/>
      <c r="V188" s="20"/>
      <c r="W188" s="20" t="s">
        <v>21</v>
      </c>
      <c r="X188" s="20" t="s">
        <v>66</v>
      </c>
      <c r="Y188" s="20"/>
      <c r="Z188" s="20"/>
      <c r="AA188" s="20"/>
      <c r="AB188" s="20"/>
      <c r="AC188" s="20"/>
      <c r="AD188" s="20"/>
      <c r="AE188" s="20"/>
      <c r="AF188" s="20"/>
      <c r="AG188" s="20"/>
      <c r="AH188" s="19"/>
      <c r="AI188" s="20"/>
      <c r="AJ188" s="20"/>
      <c r="AK188" s="20"/>
      <c r="AL188" s="20"/>
      <c r="AM188" s="24"/>
      <c r="AN188" s="59"/>
      <c r="AO188" s="12"/>
      <c r="AP188" s="60"/>
    </row>
    <row r="189" spans="1:42" ht="15.6" x14ac:dyDescent="0.3">
      <c r="A189" s="23"/>
      <c r="B189" s="20" t="s">
        <v>67</v>
      </c>
      <c r="C189" s="20"/>
      <c r="D189" s="20" t="s">
        <v>6</v>
      </c>
      <c r="E189" s="20"/>
      <c r="F189" s="66"/>
      <c r="G189" s="20"/>
      <c r="H189" s="20" t="s">
        <v>65</v>
      </c>
      <c r="I189" s="20" t="s">
        <v>63</v>
      </c>
      <c r="J189" s="50">
        <v>17705</v>
      </c>
      <c r="K189" s="50" t="s">
        <v>204</v>
      </c>
      <c r="L189" s="20" t="s">
        <v>64</v>
      </c>
      <c r="M189" s="20"/>
      <c r="N189" s="20"/>
      <c r="O189" s="20"/>
      <c r="P189" s="20"/>
      <c r="Q189" s="20"/>
      <c r="R189" s="20"/>
      <c r="S189" s="20"/>
      <c r="T189" s="20">
        <v>2010</v>
      </c>
      <c r="U189" s="20"/>
      <c r="V189" s="20"/>
      <c r="W189" s="20" t="s">
        <v>21</v>
      </c>
      <c r="X189" s="20" t="s">
        <v>66</v>
      </c>
      <c r="Y189" s="20"/>
      <c r="Z189" s="20"/>
      <c r="AA189" s="20"/>
      <c r="AB189" s="20"/>
      <c r="AC189" s="20"/>
      <c r="AD189" s="20"/>
      <c r="AE189" s="20"/>
      <c r="AF189" s="20"/>
      <c r="AG189" s="20"/>
      <c r="AH189" s="19"/>
      <c r="AI189" s="20"/>
      <c r="AJ189" s="20"/>
      <c r="AK189" s="20"/>
      <c r="AL189" s="20"/>
      <c r="AM189" s="24"/>
      <c r="AN189" s="59"/>
      <c r="AO189" s="12"/>
      <c r="AP189" s="60"/>
    </row>
    <row r="190" spans="1:42" ht="15.6" x14ac:dyDescent="0.3">
      <c r="A190" s="23"/>
      <c r="B190" s="20" t="s">
        <v>674</v>
      </c>
      <c r="C190" s="20"/>
      <c r="D190" s="20" t="s">
        <v>6</v>
      </c>
      <c r="E190" s="20"/>
      <c r="F190" s="66"/>
      <c r="G190" s="20"/>
      <c r="H190" s="20" t="s">
        <v>65</v>
      </c>
      <c r="I190" s="20" t="s">
        <v>63</v>
      </c>
      <c r="J190" s="50">
        <v>17705</v>
      </c>
      <c r="K190" s="50" t="s">
        <v>204</v>
      </c>
      <c r="L190" s="20" t="s">
        <v>64</v>
      </c>
      <c r="M190" s="20"/>
      <c r="N190" s="20"/>
      <c r="O190" s="20"/>
      <c r="P190" s="20"/>
      <c r="Q190" s="20"/>
      <c r="R190" s="20"/>
      <c r="S190" s="20"/>
      <c r="T190" s="20">
        <v>2012</v>
      </c>
      <c r="U190" s="20"/>
      <c r="V190" s="20"/>
      <c r="W190" s="20" t="s">
        <v>21</v>
      </c>
      <c r="X190" s="20" t="s">
        <v>66</v>
      </c>
      <c r="Y190" s="20"/>
      <c r="Z190" s="20"/>
      <c r="AA190" s="20"/>
      <c r="AB190" s="20"/>
      <c r="AC190" s="20"/>
      <c r="AD190" s="20"/>
      <c r="AE190" s="20"/>
      <c r="AF190" s="20"/>
      <c r="AG190" s="20"/>
      <c r="AH190" s="19"/>
      <c r="AI190" s="20"/>
      <c r="AJ190" s="20"/>
      <c r="AK190" s="20"/>
      <c r="AL190" s="20"/>
      <c r="AM190" s="24"/>
      <c r="AN190" s="59"/>
      <c r="AO190" s="12"/>
      <c r="AP190" s="60"/>
    </row>
    <row r="191" spans="1:42" ht="15.6" x14ac:dyDescent="0.3">
      <c r="A191" s="23"/>
      <c r="B191" s="20" t="s">
        <v>73</v>
      </c>
      <c r="C191" s="20"/>
      <c r="D191" s="20" t="s">
        <v>6</v>
      </c>
      <c r="E191" s="20"/>
      <c r="F191" s="66"/>
      <c r="G191" s="20"/>
      <c r="H191" s="20" t="s">
        <v>65</v>
      </c>
      <c r="I191" s="20" t="s">
        <v>63</v>
      </c>
      <c r="J191" s="50">
        <v>17705</v>
      </c>
      <c r="K191" s="50" t="s">
        <v>204</v>
      </c>
      <c r="L191" s="20" t="s">
        <v>64</v>
      </c>
      <c r="M191" s="20"/>
      <c r="N191" s="20"/>
      <c r="O191" s="20"/>
      <c r="P191" s="20"/>
      <c r="Q191" s="20"/>
      <c r="R191" s="20"/>
      <c r="S191" s="20"/>
      <c r="T191" s="20">
        <v>2013</v>
      </c>
      <c r="U191" s="20"/>
      <c r="V191" s="20"/>
      <c r="W191" s="20" t="s">
        <v>21</v>
      </c>
      <c r="X191" s="20" t="s">
        <v>66</v>
      </c>
      <c r="Y191" s="20"/>
      <c r="Z191" s="20"/>
      <c r="AA191" s="20"/>
      <c r="AB191" s="20"/>
      <c r="AC191" s="20"/>
      <c r="AD191" s="20"/>
      <c r="AE191" s="20"/>
      <c r="AF191" s="20"/>
      <c r="AG191" s="20"/>
      <c r="AH191" s="19"/>
      <c r="AI191" s="20"/>
      <c r="AJ191" s="20"/>
      <c r="AK191" s="20"/>
      <c r="AL191" s="20"/>
      <c r="AM191" s="24"/>
      <c r="AN191" s="59"/>
      <c r="AO191" s="12"/>
      <c r="AP191" s="60"/>
    </row>
    <row r="192" spans="1:42" ht="15.6" x14ac:dyDescent="0.3">
      <c r="A192" s="23"/>
      <c r="B192" s="20" t="s">
        <v>70</v>
      </c>
      <c r="C192" s="20"/>
      <c r="D192" s="20" t="s">
        <v>6</v>
      </c>
      <c r="E192" s="20"/>
      <c r="F192" s="66"/>
      <c r="G192" s="20"/>
      <c r="H192" s="20" t="s">
        <v>65</v>
      </c>
      <c r="I192" s="20" t="s">
        <v>63</v>
      </c>
      <c r="J192" s="50">
        <v>17705</v>
      </c>
      <c r="K192" s="50" t="s">
        <v>204</v>
      </c>
      <c r="L192" s="20" t="s">
        <v>64</v>
      </c>
      <c r="M192" s="20"/>
      <c r="N192" s="20"/>
      <c r="O192" s="20"/>
      <c r="P192" s="20"/>
      <c r="Q192" s="20"/>
      <c r="R192" s="20"/>
      <c r="S192" s="20"/>
      <c r="T192" s="20">
        <v>2015</v>
      </c>
      <c r="U192" s="20"/>
      <c r="V192" s="20"/>
      <c r="W192" s="20" t="s">
        <v>21</v>
      </c>
      <c r="X192" s="20" t="s">
        <v>66</v>
      </c>
      <c r="Y192" s="20"/>
      <c r="Z192" s="20"/>
      <c r="AA192" s="20"/>
      <c r="AB192" s="20"/>
      <c r="AC192" s="20"/>
      <c r="AD192" s="20"/>
      <c r="AE192" s="20"/>
      <c r="AF192" s="20"/>
      <c r="AG192" s="20"/>
      <c r="AH192" s="19"/>
      <c r="AI192" s="20"/>
      <c r="AJ192" s="20"/>
      <c r="AK192" s="20"/>
      <c r="AL192" s="20"/>
      <c r="AM192" s="24"/>
      <c r="AN192" s="59"/>
      <c r="AO192" s="12"/>
      <c r="AP192" s="60"/>
    </row>
    <row r="193" spans="1:42" ht="15.6" x14ac:dyDescent="0.3">
      <c r="A193" s="23"/>
      <c r="B193" s="20" t="s">
        <v>68</v>
      </c>
      <c r="C193" s="20"/>
      <c r="D193" s="20" t="s">
        <v>6</v>
      </c>
      <c r="E193" s="20"/>
      <c r="F193" s="66"/>
      <c r="G193" s="20"/>
      <c r="H193" s="20" t="s">
        <v>65</v>
      </c>
      <c r="I193" s="20" t="s">
        <v>63</v>
      </c>
      <c r="J193" s="50">
        <v>17705</v>
      </c>
      <c r="K193" s="50" t="s">
        <v>204</v>
      </c>
      <c r="L193" s="20" t="s">
        <v>64</v>
      </c>
      <c r="M193" s="20"/>
      <c r="N193" s="20"/>
      <c r="O193" s="20"/>
      <c r="P193" s="20"/>
      <c r="Q193" s="20"/>
      <c r="R193" s="20"/>
      <c r="S193" s="20"/>
      <c r="T193" s="20">
        <v>2011</v>
      </c>
      <c r="U193" s="20"/>
      <c r="V193" s="20"/>
      <c r="W193" s="20" t="s">
        <v>21</v>
      </c>
      <c r="X193" s="20" t="s">
        <v>66</v>
      </c>
      <c r="Y193" s="20"/>
      <c r="Z193" s="20"/>
      <c r="AA193" s="20"/>
      <c r="AB193" s="20"/>
      <c r="AC193" s="20"/>
      <c r="AD193" s="20"/>
      <c r="AE193" s="20"/>
      <c r="AF193" s="20"/>
      <c r="AG193" s="20"/>
      <c r="AH193" s="19"/>
      <c r="AI193" s="20"/>
      <c r="AJ193" s="20"/>
      <c r="AK193" s="20"/>
      <c r="AL193" s="20"/>
      <c r="AM193" s="24"/>
      <c r="AN193" s="59"/>
      <c r="AO193" s="12"/>
      <c r="AP193" s="60"/>
    </row>
    <row r="194" spans="1:42" ht="15.6" x14ac:dyDescent="0.3">
      <c r="A194" s="23"/>
      <c r="B194" s="20" t="s">
        <v>69</v>
      </c>
      <c r="C194" s="20"/>
      <c r="D194" s="20" t="s">
        <v>6</v>
      </c>
      <c r="E194" s="20"/>
      <c r="F194" s="66"/>
      <c r="G194" s="20"/>
      <c r="H194" s="20" t="s">
        <v>65</v>
      </c>
      <c r="I194" s="20" t="s">
        <v>63</v>
      </c>
      <c r="J194" s="50">
        <v>17705</v>
      </c>
      <c r="K194" s="50" t="s">
        <v>204</v>
      </c>
      <c r="L194" s="20" t="s">
        <v>64</v>
      </c>
      <c r="M194" s="20"/>
      <c r="N194" s="20"/>
      <c r="O194" s="20"/>
      <c r="P194" s="20"/>
      <c r="Q194" s="20"/>
      <c r="R194" s="20"/>
      <c r="S194" s="20"/>
      <c r="T194" s="20">
        <v>2016</v>
      </c>
      <c r="U194" s="20"/>
      <c r="V194" s="20"/>
      <c r="W194" s="20" t="s">
        <v>21</v>
      </c>
      <c r="X194" s="20" t="s">
        <v>66</v>
      </c>
      <c r="Y194" s="20"/>
      <c r="Z194" s="20"/>
      <c r="AA194" s="20"/>
      <c r="AB194" s="20"/>
      <c r="AC194" s="20"/>
      <c r="AD194" s="20"/>
      <c r="AE194" s="20"/>
      <c r="AF194" s="20"/>
      <c r="AG194" s="20"/>
      <c r="AH194" s="19"/>
      <c r="AI194" s="20"/>
      <c r="AJ194" s="20"/>
      <c r="AK194" s="20"/>
      <c r="AL194" s="20"/>
      <c r="AM194" s="24"/>
      <c r="AN194" s="59"/>
      <c r="AO194" s="12"/>
      <c r="AP194" s="60"/>
    </row>
    <row r="195" spans="1:42" ht="15.6" x14ac:dyDescent="0.3">
      <c r="A195" s="23"/>
      <c r="B195" s="20" t="s">
        <v>71</v>
      </c>
      <c r="C195" s="20"/>
      <c r="D195" s="20" t="s">
        <v>6</v>
      </c>
      <c r="E195" s="20"/>
      <c r="F195" s="66"/>
      <c r="G195" s="20"/>
      <c r="H195" s="20" t="s">
        <v>65</v>
      </c>
      <c r="I195" s="20" t="s">
        <v>63</v>
      </c>
      <c r="J195" s="50">
        <v>17705</v>
      </c>
      <c r="K195" s="50" t="s">
        <v>204</v>
      </c>
      <c r="L195" s="20" t="s">
        <v>64</v>
      </c>
      <c r="M195" s="20"/>
      <c r="N195" s="20"/>
      <c r="O195" s="20"/>
      <c r="P195" s="20"/>
      <c r="Q195" s="20"/>
      <c r="R195" s="20"/>
      <c r="S195" s="20"/>
      <c r="T195" s="20">
        <v>2015</v>
      </c>
      <c r="U195" s="20"/>
      <c r="V195" s="20"/>
      <c r="W195" s="20" t="s">
        <v>21</v>
      </c>
      <c r="X195" s="20" t="s">
        <v>66</v>
      </c>
      <c r="Y195" s="20"/>
      <c r="Z195" s="20"/>
      <c r="AA195" s="20"/>
      <c r="AB195" s="20"/>
      <c r="AC195" s="20"/>
      <c r="AD195" s="20"/>
      <c r="AE195" s="20"/>
      <c r="AF195" s="20"/>
      <c r="AG195" s="20"/>
      <c r="AH195" s="19"/>
      <c r="AI195" s="20"/>
      <c r="AJ195" s="20"/>
      <c r="AK195" s="20"/>
      <c r="AL195" s="20"/>
      <c r="AM195" s="24"/>
      <c r="AN195" s="59"/>
      <c r="AO195" s="12"/>
      <c r="AP195" s="60"/>
    </row>
    <row r="196" spans="1:42" ht="15.6" x14ac:dyDescent="0.3">
      <c r="A196" s="23"/>
      <c r="B196" s="20" t="s">
        <v>272</v>
      </c>
      <c r="C196" s="20" t="s">
        <v>649</v>
      </c>
      <c r="D196" s="20" t="s">
        <v>6</v>
      </c>
      <c r="E196" s="20" t="s">
        <v>81</v>
      </c>
      <c r="F196" s="66" t="s">
        <v>653</v>
      </c>
      <c r="G196" s="20">
        <v>1991</v>
      </c>
      <c r="H196" s="20" t="s">
        <v>271</v>
      </c>
      <c r="I196" s="20" t="s">
        <v>270</v>
      </c>
      <c r="J196" s="50">
        <v>8356</v>
      </c>
      <c r="K196" s="50">
        <v>40347</v>
      </c>
      <c r="L196" s="20" t="s">
        <v>271</v>
      </c>
      <c r="M196" s="20" t="s">
        <v>617</v>
      </c>
      <c r="N196" s="20" t="s">
        <v>650</v>
      </c>
      <c r="O196" s="20" t="s">
        <v>1268</v>
      </c>
      <c r="P196" s="20"/>
      <c r="Q196" s="20"/>
      <c r="R196" s="20"/>
      <c r="S196" s="20"/>
      <c r="T196" s="20">
        <v>2010</v>
      </c>
      <c r="U196" s="20"/>
      <c r="V196" s="20"/>
      <c r="W196" s="20" t="s">
        <v>21</v>
      </c>
      <c r="X196" s="20" t="s">
        <v>159</v>
      </c>
      <c r="Y196" s="20"/>
      <c r="Z196" s="20"/>
      <c r="AA196" s="20"/>
      <c r="AB196" s="20" t="s">
        <v>651</v>
      </c>
      <c r="AC196" s="20">
        <v>351</v>
      </c>
      <c r="AD196" s="20"/>
      <c r="AE196" s="20"/>
      <c r="AF196" s="20"/>
      <c r="AG196" s="20" t="s">
        <v>652</v>
      </c>
      <c r="AH196" s="19">
        <f>(9.9)/2</f>
        <v>4.95</v>
      </c>
      <c r="AI196" s="20"/>
      <c r="AJ196" s="20"/>
      <c r="AK196" s="20"/>
      <c r="AL196" s="20"/>
      <c r="AM196" s="24"/>
      <c r="AN196" s="59"/>
      <c r="AO196" s="12"/>
      <c r="AP196" s="60"/>
    </row>
    <row r="197" spans="1:42" ht="15.6" x14ac:dyDescent="0.3">
      <c r="A197" s="23"/>
      <c r="B197" s="20" t="s">
        <v>856</v>
      </c>
      <c r="C197" s="20" t="s">
        <v>856</v>
      </c>
      <c r="D197" s="20" t="s">
        <v>6</v>
      </c>
      <c r="E197" s="20" t="s">
        <v>81</v>
      </c>
      <c r="F197" s="66" t="s">
        <v>859</v>
      </c>
      <c r="G197" s="20">
        <v>1923</v>
      </c>
      <c r="H197" s="20" t="s">
        <v>21</v>
      </c>
      <c r="I197" s="20" t="s">
        <v>1212</v>
      </c>
      <c r="J197" s="50" t="s">
        <v>858</v>
      </c>
      <c r="K197" s="50">
        <v>10484</v>
      </c>
      <c r="L197" s="20" t="s">
        <v>22</v>
      </c>
      <c r="M197" s="20" t="s">
        <v>617</v>
      </c>
      <c r="N197" s="20" t="s">
        <v>1268</v>
      </c>
      <c r="O197" s="20" t="s">
        <v>1268</v>
      </c>
      <c r="P197" s="20"/>
      <c r="Q197" s="20"/>
      <c r="R197" s="20"/>
      <c r="S197" s="20"/>
      <c r="T197" s="20">
        <v>1993</v>
      </c>
      <c r="U197" s="20"/>
      <c r="V197" s="20"/>
      <c r="W197" s="20" t="s">
        <v>21</v>
      </c>
      <c r="X197" s="20" t="s">
        <v>159</v>
      </c>
      <c r="Y197" s="20"/>
      <c r="Z197" s="20"/>
      <c r="AA197" s="20"/>
      <c r="AB197" s="20" t="s">
        <v>857</v>
      </c>
      <c r="AC197" s="20">
        <v>413</v>
      </c>
      <c r="AD197" s="20"/>
      <c r="AE197" s="20"/>
      <c r="AF197" s="20"/>
      <c r="AG197" s="20" t="s">
        <v>682</v>
      </c>
      <c r="AH197" s="19">
        <v>10</v>
      </c>
      <c r="AI197" s="20"/>
      <c r="AJ197" s="20"/>
      <c r="AK197" s="20"/>
      <c r="AL197" s="20"/>
      <c r="AM197" s="24"/>
      <c r="AN197" s="59"/>
      <c r="AO197" s="12"/>
      <c r="AP197" s="60"/>
    </row>
    <row r="198" spans="1:42" ht="15.6" x14ac:dyDescent="0.3">
      <c r="A198" s="23"/>
      <c r="B198" s="20" t="s">
        <v>27</v>
      </c>
      <c r="C198" s="20"/>
      <c r="D198" s="20" t="s">
        <v>6</v>
      </c>
      <c r="E198" s="20"/>
      <c r="F198" s="66"/>
      <c r="G198" s="20"/>
      <c r="H198" s="20" t="s">
        <v>7</v>
      </c>
      <c r="I198" s="20" t="s">
        <v>28</v>
      </c>
      <c r="J198" s="50">
        <v>31965</v>
      </c>
      <c r="K198" s="50" t="s">
        <v>204</v>
      </c>
      <c r="L198" s="20" t="s">
        <v>14</v>
      </c>
      <c r="M198" s="20"/>
      <c r="N198" s="20"/>
      <c r="O198" s="20"/>
      <c r="P198" s="20"/>
      <c r="Q198" s="20"/>
      <c r="R198" s="20"/>
      <c r="S198" s="20"/>
      <c r="T198" s="20">
        <v>2020</v>
      </c>
      <c r="U198" s="20"/>
      <c r="V198" s="20"/>
      <c r="W198" s="20" t="s">
        <v>21</v>
      </c>
      <c r="X198" s="20" t="s">
        <v>8</v>
      </c>
      <c r="Y198" s="20"/>
      <c r="Z198" s="20"/>
      <c r="AA198" s="20"/>
      <c r="AB198" s="20"/>
      <c r="AC198" s="20"/>
      <c r="AD198" s="20"/>
      <c r="AE198" s="20"/>
      <c r="AF198" s="20"/>
      <c r="AG198" s="20"/>
      <c r="AH198" s="19"/>
      <c r="AI198" s="20"/>
      <c r="AJ198" s="20"/>
      <c r="AK198" s="20"/>
      <c r="AL198" s="20"/>
      <c r="AM198" s="24"/>
      <c r="AN198" s="59"/>
      <c r="AO198" s="12"/>
      <c r="AP198" s="60"/>
    </row>
    <row r="199" spans="1:42" ht="15.6" x14ac:dyDescent="0.3">
      <c r="A199" s="23"/>
      <c r="B199" s="20" t="s">
        <v>874</v>
      </c>
      <c r="C199" s="20" t="s">
        <v>874</v>
      </c>
      <c r="D199" s="20" t="s">
        <v>6</v>
      </c>
      <c r="E199" s="20" t="s">
        <v>81</v>
      </c>
      <c r="F199" s="66" t="s">
        <v>877</v>
      </c>
      <c r="G199" s="20">
        <v>1961</v>
      </c>
      <c r="H199" s="20" t="s">
        <v>21</v>
      </c>
      <c r="I199" s="20" t="s">
        <v>876</v>
      </c>
      <c r="J199" s="50">
        <v>7679</v>
      </c>
      <c r="K199" s="50">
        <v>32832</v>
      </c>
      <c r="L199" s="20" t="s">
        <v>22</v>
      </c>
      <c r="M199" s="20" t="s">
        <v>617</v>
      </c>
      <c r="N199" s="20" t="s">
        <v>1268</v>
      </c>
      <c r="O199" s="20" t="s">
        <v>1268</v>
      </c>
      <c r="P199" s="20"/>
      <c r="Q199" s="20"/>
      <c r="R199" s="20"/>
      <c r="S199" s="20"/>
      <c r="T199" s="20">
        <v>1993</v>
      </c>
      <c r="U199" s="20"/>
      <c r="V199" s="20"/>
      <c r="W199" s="20" t="s">
        <v>21</v>
      </c>
      <c r="X199" s="20" t="s">
        <v>269</v>
      </c>
      <c r="Y199" s="20"/>
      <c r="Z199" s="20"/>
      <c r="AA199" s="20"/>
      <c r="AB199" s="20" t="s">
        <v>875</v>
      </c>
      <c r="AC199" s="20">
        <v>117</v>
      </c>
      <c r="AD199" s="20"/>
      <c r="AE199" s="20"/>
      <c r="AF199" s="20"/>
      <c r="AG199" s="20" t="s">
        <v>669</v>
      </c>
      <c r="AH199" s="19">
        <v>9</v>
      </c>
      <c r="AI199" s="20"/>
      <c r="AJ199" s="20"/>
      <c r="AK199" s="20"/>
      <c r="AL199" s="20"/>
      <c r="AM199" s="24"/>
      <c r="AN199" s="59"/>
      <c r="AO199" s="12"/>
      <c r="AP199" s="60"/>
    </row>
    <row r="200" spans="1:42" ht="15.6" x14ac:dyDescent="0.3">
      <c r="A200" s="23"/>
      <c r="B200" s="20" t="s">
        <v>388</v>
      </c>
      <c r="C200" s="20"/>
      <c r="D200" s="20" t="s">
        <v>106</v>
      </c>
      <c r="E200" s="20"/>
      <c r="F200" s="66"/>
      <c r="G200" s="20"/>
      <c r="H200" s="20" t="s">
        <v>7</v>
      </c>
      <c r="I200" s="20" t="s">
        <v>385</v>
      </c>
      <c r="J200" s="50" t="s">
        <v>387</v>
      </c>
      <c r="K200" s="50">
        <v>18569</v>
      </c>
      <c r="L200" s="20" t="s">
        <v>386</v>
      </c>
      <c r="M200" s="20"/>
      <c r="N200" s="20"/>
      <c r="O200" s="20"/>
      <c r="P200" s="20"/>
      <c r="Q200" s="20"/>
      <c r="R200" s="20"/>
      <c r="S200" s="20"/>
      <c r="T200" s="20">
        <v>2019</v>
      </c>
      <c r="U200" s="20"/>
      <c r="V200" s="20"/>
      <c r="W200" s="20" t="s">
        <v>21</v>
      </c>
      <c r="X200" s="20" t="s">
        <v>8</v>
      </c>
      <c r="Y200" s="20"/>
      <c r="Z200" s="20"/>
      <c r="AA200" s="20"/>
      <c r="AB200" s="20"/>
      <c r="AC200" s="20"/>
      <c r="AD200" s="20"/>
      <c r="AE200" s="20"/>
      <c r="AF200" s="20"/>
      <c r="AG200" s="20"/>
      <c r="AH200" s="19"/>
      <c r="AI200" s="20"/>
      <c r="AJ200" s="20"/>
      <c r="AK200" s="20"/>
      <c r="AL200" s="20"/>
      <c r="AM200" s="24"/>
      <c r="AN200" s="59"/>
      <c r="AO200" s="12"/>
      <c r="AP200" s="60"/>
    </row>
    <row r="201" spans="1:42" ht="15.6" x14ac:dyDescent="0.3">
      <c r="A201" s="23"/>
      <c r="B201" s="20" t="s">
        <v>817</v>
      </c>
      <c r="C201" s="20" t="s">
        <v>821</v>
      </c>
      <c r="D201" s="20" t="s">
        <v>6</v>
      </c>
      <c r="E201" s="20" t="s">
        <v>744</v>
      </c>
      <c r="F201" s="66" t="s">
        <v>823</v>
      </c>
      <c r="G201" s="20" t="s">
        <v>822</v>
      </c>
      <c r="H201" s="20" t="s">
        <v>341</v>
      </c>
      <c r="I201" s="20" t="s">
        <v>818</v>
      </c>
      <c r="J201" s="50" t="s">
        <v>820</v>
      </c>
      <c r="K201" s="50">
        <v>23531</v>
      </c>
      <c r="L201" s="20" t="s">
        <v>341</v>
      </c>
      <c r="M201" s="20" t="s">
        <v>617</v>
      </c>
      <c r="N201" s="20" t="s">
        <v>819</v>
      </c>
      <c r="O201" s="20" t="s">
        <v>1268</v>
      </c>
      <c r="P201" s="20"/>
      <c r="Q201" s="20"/>
      <c r="R201" s="20"/>
      <c r="S201" s="20"/>
      <c r="T201" s="20">
        <v>1969</v>
      </c>
      <c r="U201" s="20"/>
      <c r="V201" s="20"/>
      <c r="W201" s="20" t="s">
        <v>21</v>
      </c>
      <c r="X201" s="20" t="s">
        <v>740</v>
      </c>
      <c r="Y201" s="20"/>
      <c r="Z201" s="20"/>
      <c r="AA201" s="20"/>
      <c r="AB201" s="20"/>
      <c r="AC201" s="20">
        <v>702</v>
      </c>
      <c r="AD201" s="20"/>
      <c r="AE201" s="20"/>
      <c r="AF201" s="20"/>
      <c r="AG201" s="20" t="s">
        <v>741</v>
      </c>
      <c r="AH201" s="19">
        <f>(4200*14.4572)/1936.27</f>
        <v>31.359386862369401</v>
      </c>
      <c r="AI201" s="20" t="s">
        <v>1348</v>
      </c>
      <c r="AJ201" s="20"/>
      <c r="AK201" s="20"/>
      <c r="AL201" s="20"/>
      <c r="AM201" s="24"/>
      <c r="AN201" s="59"/>
      <c r="AO201" s="12"/>
      <c r="AP201" s="60"/>
    </row>
    <row r="202" spans="1:42" ht="15.6" x14ac:dyDescent="0.3">
      <c r="A202" s="23"/>
      <c r="B202" s="20" t="s">
        <v>396</v>
      </c>
      <c r="C202" s="20"/>
      <c r="D202" s="20" t="s">
        <v>6</v>
      </c>
      <c r="E202" s="20"/>
      <c r="F202" s="66"/>
      <c r="G202" s="20"/>
      <c r="H202" s="20" t="s">
        <v>7</v>
      </c>
      <c r="I202" s="20" t="s">
        <v>393</v>
      </c>
      <c r="J202" s="50" t="s">
        <v>394</v>
      </c>
      <c r="K202" s="50" t="s">
        <v>395</v>
      </c>
      <c r="L202" s="20" t="s">
        <v>13</v>
      </c>
      <c r="M202" s="20"/>
      <c r="N202" s="20"/>
      <c r="O202" s="20"/>
      <c r="P202" s="20"/>
      <c r="Q202" s="20"/>
      <c r="R202" s="20"/>
      <c r="S202" s="20"/>
      <c r="T202" s="20">
        <v>2016</v>
      </c>
      <c r="U202" s="20"/>
      <c r="V202" s="20"/>
      <c r="W202" s="20" t="s">
        <v>21</v>
      </c>
      <c r="X202" s="20" t="s">
        <v>8</v>
      </c>
      <c r="Y202" s="20"/>
      <c r="Z202" s="20"/>
      <c r="AA202" s="20"/>
      <c r="AB202" s="20"/>
      <c r="AC202" s="20"/>
      <c r="AD202" s="20"/>
      <c r="AE202" s="20"/>
      <c r="AF202" s="20"/>
      <c r="AG202" s="20"/>
      <c r="AH202" s="19"/>
      <c r="AI202" s="20"/>
      <c r="AJ202" s="20"/>
      <c r="AK202" s="20"/>
      <c r="AL202" s="20"/>
      <c r="AM202" s="24"/>
      <c r="AN202" s="59"/>
      <c r="AO202" s="12"/>
      <c r="AP202" s="60"/>
    </row>
    <row r="203" spans="1:42" ht="31.2" x14ac:dyDescent="0.3">
      <c r="A203" s="11"/>
      <c r="B203" s="12" t="s">
        <v>1302</v>
      </c>
      <c r="C203" s="12" t="s">
        <v>1310</v>
      </c>
      <c r="D203" s="12" t="s">
        <v>6</v>
      </c>
      <c r="E203" s="12" t="s">
        <v>80</v>
      </c>
      <c r="F203" s="65" t="s">
        <v>1314</v>
      </c>
      <c r="G203" s="12">
        <v>1879</v>
      </c>
      <c r="H203" s="12" t="s">
        <v>7</v>
      </c>
      <c r="I203" s="12" t="s">
        <v>1311</v>
      </c>
      <c r="J203" s="49" t="s">
        <v>1312</v>
      </c>
      <c r="K203" s="49" t="s">
        <v>1313</v>
      </c>
      <c r="L203" s="12" t="s">
        <v>233</v>
      </c>
      <c r="M203" s="12" t="s">
        <v>617</v>
      </c>
      <c r="N203" s="12" t="s">
        <v>1268</v>
      </c>
      <c r="O203" s="12" t="s">
        <v>1268</v>
      </c>
      <c r="P203" s="12" t="s">
        <v>1303</v>
      </c>
      <c r="Q203" s="12" t="s">
        <v>1304</v>
      </c>
      <c r="R203" s="12" t="s">
        <v>1303</v>
      </c>
      <c r="S203" s="12"/>
      <c r="T203" s="12">
        <v>2012</v>
      </c>
      <c r="U203" s="12">
        <v>2012</v>
      </c>
      <c r="V203" s="12"/>
      <c r="W203" s="12" t="s">
        <v>21</v>
      </c>
      <c r="X203" s="12" t="s">
        <v>1305</v>
      </c>
      <c r="Y203" s="12" t="s">
        <v>1309</v>
      </c>
      <c r="Z203" s="12" t="s">
        <v>1306</v>
      </c>
      <c r="AA203" s="12"/>
      <c r="AB203" s="12" t="s">
        <v>1307</v>
      </c>
      <c r="AC203" s="12">
        <v>167</v>
      </c>
      <c r="AD203" s="12"/>
      <c r="AE203" s="12" t="s">
        <v>1090</v>
      </c>
      <c r="AF203" s="12" t="s">
        <v>1178</v>
      </c>
      <c r="AG203" s="12" t="s">
        <v>624</v>
      </c>
      <c r="AH203" s="13">
        <v>13</v>
      </c>
      <c r="AI203" s="12"/>
      <c r="AJ203" s="12"/>
      <c r="AK203" s="12"/>
      <c r="AL203" s="12" t="s">
        <v>1231</v>
      </c>
      <c r="AM203" s="14"/>
      <c r="AN203" s="59"/>
      <c r="AO203" s="12"/>
      <c r="AP203" s="60"/>
    </row>
    <row r="204" spans="1:42" ht="15.6" x14ac:dyDescent="0.3">
      <c r="A204" s="23"/>
      <c r="B204" s="20" t="s">
        <v>112</v>
      </c>
      <c r="C204" s="20"/>
      <c r="D204" s="20" t="s">
        <v>6</v>
      </c>
      <c r="E204" s="20"/>
      <c r="F204" s="66"/>
      <c r="G204" s="20"/>
      <c r="H204" s="20" t="s">
        <v>7</v>
      </c>
      <c r="I204" s="20" t="s">
        <v>74</v>
      </c>
      <c r="J204" s="50" t="s">
        <v>208</v>
      </c>
      <c r="K204" s="50">
        <v>26909</v>
      </c>
      <c r="L204" s="20" t="s">
        <v>13</v>
      </c>
      <c r="M204" s="20"/>
      <c r="N204" s="20"/>
      <c r="O204" s="20"/>
      <c r="P204" s="20"/>
      <c r="Q204" s="20"/>
      <c r="R204" s="20"/>
      <c r="S204" s="20"/>
      <c r="T204" s="20">
        <v>2019</v>
      </c>
      <c r="U204" s="20"/>
      <c r="V204" s="20"/>
      <c r="W204" s="20" t="s">
        <v>21</v>
      </c>
      <c r="X204" s="20" t="s">
        <v>111</v>
      </c>
      <c r="Y204" s="20"/>
      <c r="Z204" s="20"/>
      <c r="AA204" s="20"/>
      <c r="AB204" s="20"/>
      <c r="AC204" s="20"/>
      <c r="AD204" s="20"/>
      <c r="AE204" s="20"/>
      <c r="AF204" s="20"/>
      <c r="AG204" s="20"/>
      <c r="AH204" s="19"/>
      <c r="AI204" s="20"/>
      <c r="AJ204" s="20"/>
      <c r="AK204" s="20"/>
      <c r="AL204" s="20"/>
      <c r="AM204" s="24"/>
      <c r="AN204" s="59"/>
      <c r="AO204" s="12"/>
      <c r="AP204" s="60"/>
    </row>
    <row r="205" spans="1:42" ht="15.6" x14ac:dyDescent="0.3">
      <c r="A205" s="23"/>
      <c r="B205" s="20" t="s">
        <v>124</v>
      </c>
      <c r="C205" s="20"/>
      <c r="D205" s="20" t="s">
        <v>6</v>
      </c>
      <c r="E205" s="20"/>
      <c r="F205" s="66"/>
      <c r="G205" s="20"/>
      <c r="H205" s="20" t="s">
        <v>7</v>
      </c>
      <c r="I205" s="20" t="s">
        <v>74</v>
      </c>
      <c r="J205" s="50" t="s">
        <v>208</v>
      </c>
      <c r="K205" s="50">
        <v>26909</v>
      </c>
      <c r="L205" s="20" t="s">
        <v>13</v>
      </c>
      <c r="M205" s="20"/>
      <c r="N205" s="20"/>
      <c r="O205" s="20"/>
      <c r="P205" s="20"/>
      <c r="Q205" s="20"/>
      <c r="R205" s="20"/>
      <c r="S205" s="20"/>
      <c r="T205" s="20">
        <v>2007</v>
      </c>
      <c r="U205" s="20"/>
      <c r="V205" s="20"/>
      <c r="W205" s="20" t="s">
        <v>21</v>
      </c>
      <c r="X205" s="20" t="s">
        <v>111</v>
      </c>
      <c r="Y205" s="20"/>
      <c r="Z205" s="20"/>
      <c r="AA205" s="20"/>
      <c r="AB205" s="20"/>
      <c r="AC205" s="20"/>
      <c r="AD205" s="20"/>
      <c r="AE205" s="20"/>
      <c r="AF205" s="20"/>
      <c r="AG205" s="20"/>
      <c r="AH205" s="19"/>
      <c r="AI205" s="20"/>
      <c r="AJ205" s="20"/>
      <c r="AK205" s="20"/>
      <c r="AL205" s="20"/>
      <c r="AM205" s="24"/>
      <c r="AN205" s="59"/>
      <c r="AO205" s="12"/>
      <c r="AP205" s="60"/>
    </row>
    <row r="206" spans="1:42" ht="15.6" x14ac:dyDescent="0.3">
      <c r="A206" s="23"/>
      <c r="B206" s="20" t="s">
        <v>122</v>
      </c>
      <c r="C206" s="20"/>
      <c r="D206" s="20" t="s">
        <v>6</v>
      </c>
      <c r="E206" s="20"/>
      <c r="F206" s="66"/>
      <c r="G206" s="20"/>
      <c r="H206" s="20" t="s">
        <v>7</v>
      </c>
      <c r="I206" s="20" t="s">
        <v>74</v>
      </c>
      <c r="J206" s="50" t="s">
        <v>208</v>
      </c>
      <c r="K206" s="50">
        <v>26909</v>
      </c>
      <c r="L206" s="20" t="s">
        <v>13</v>
      </c>
      <c r="M206" s="20"/>
      <c r="N206" s="20"/>
      <c r="O206" s="20"/>
      <c r="P206" s="20"/>
      <c r="Q206" s="20"/>
      <c r="R206" s="20"/>
      <c r="S206" s="20"/>
      <c r="T206" s="20">
        <v>2007</v>
      </c>
      <c r="U206" s="20"/>
      <c r="V206" s="20"/>
      <c r="W206" s="20" t="s">
        <v>21</v>
      </c>
      <c r="X206" s="20" t="s">
        <v>111</v>
      </c>
      <c r="Y206" s="20"/>
      <c r="Z206" s="20"/>
      <c r="AA206" s="20"/>
      <c r="AB206" s="20"/>
      <c r="AC206" s="20"/>
      <c r="AD206" s="20"/>
      <c r="AE206" s="20"/>
      <c r="AF206" s="20"/>
      <c r="AG206" s="20"/>
      <c r="AH206" s="19"/>
      <c r="AI206" s="20"/>
      <c r="AJ206" s="20"/>
      <c r="AK206" s="20"/>
      <c r="AL206" s="20"/>
      <c r="AM206" s="24"/>
      <c r="AN206" s="59"/>
      <c r="AO206" s="12"/>
      <c r="AP206" s="60"/>
    </row>
    <row r="207" spans="1:42" ht="15.6" x14ac:dyDescent="0.3">
      <c r="A207" s="23"/>
      <c r="B207" s="20" t="s">
        <v>123</v>
      </c>
      <c r="C207" s="20"/>
      <c r="D207" s="20" t="s">
        <v>6</v>
      </c>
      <c r="E207" s="20"/>
      <c r="F207" s="66"/>
      <c r="G207" s="20"/>
      <c r="H207" s="20" t="s">
        <v>7</v>
      </c>
      <c r="I207" s="20" t="s">
        <v>74</v>
      </c>
      <c r="J207" s="50" t="s">
        <v>208</v>
      </c>
      <c r="K207" s="50">
        <v>26909</v>
      </c>
      <c r="L207" s="20" t="s">
        <v>13</v>
      </c>
      <c r="M207" s="20"/>
      <c r="N207" s="20"/>
      <c r="O207" s="20"/>
      <c r="P207" s="20"/>
      <c r="Q207" s="20"/>
      <c r="R207" s="20"/>
      <c r="S207" s="20"/>
      <c r="T207" s="20">
        <v>2007</v>
      </c>
      <c r="U207" s="20"/>
      <c r="V207" s="20"/>
      <c r="W207" s="20" t="s">
        <v>21</v>
      </c>
      <c r="X207" s="20" t="s">
        <v>111</v>
      </c>
      <c r="Y207" s="20"/>
      <c r="Z207" s="20"/>
      <c r="AA207" s="20"/>
      <c r="AB207" s="20"/>
      <c r="AC207" s="20"/>
      <c r="AD207" s="20"/>
      <c r="AE207" s="20"/>
      <c r="AF207" s="20"/>
      <c r="AG207" s="20"/>
      <c r="AH207" s="19"/>
      <c r="AI207" s="20"/>
      <c r="AJ207" s="20"/>
      <c r="AK207" s="20"/>
      <c r="AL207" s="20"/>
      <c r="AM207" s="24"/>
      <c r="AN207" s="59"/>
      <c r="AO207" s="12"/>
      <c r="AP207" s="60"/>
    </row>
    <row r="208" spans="1:42" ht="15.6" x14ac:dyDescent="0.3">
      <c r="A208" s="23"/>
      <c r="B208" s="20" t="s">
        <v>114</v>
      </c>
      <c r="C208" s="20"/>
      <c r="D208" s="20" t="s">
        <v>82</v>
      </c>
      <c r="E208" s="20"/>
      <c r="F208" s="66"/>
      <c r="G208" s="20"/>
      <c r="H208" s="20" t="s">
        <v>7</v>
      </c>
      <c r="I208" s="20" t="s">
        <v>74</v>
      </c>
      <c r="J208" s="50" t="s">
        <v>208</v>
      </c>
      <c r="K208" s="50">
        <v>26909</v>
      </c>
      <c r="L208" s="20" t="s">
        <v>13</v>
      </c>
      <c r="M208" s="20"/>
      <c r="N208" s="20"/>
      <c r="O208" s="20"/>
      <c r="P208" s="20"/>
      <c r="Q208" s="20"/>
      <c r="R208" s="20"/>
      <c r="S208" s="20"/>
      <c r="T208" s="20">
        <v>2018</v>
      </c>
      <c r="U208" s="20"/>
      <c r="V208" s="20"/>
      <c r="W208" s="20" t="s">
        <v>21</v>
      </c>
      <c r="X208" s="20" t="s">
        <v>111</v>
      </c>
      <c r="Y208" s="20"/>
      <c r="Z208" s="20"/>
      <c r="AA208" s="20"/>
      <c r="AB208" s="20"/>
      <c r="AC208" s="20"/>
      <c r="AD208" s="20"/>
      <c r="AE208" s="20"/>
      <c r="AF208" s="20"/>
      <c r="AG208" s="20"/>
      <c r="AH208" s="19"/>
      <c r="AI208" s="20"/>
      <c r="AJ208" s="20"/>
      <c r="AK208" s="20"/>
      <c r="AL208" s="20"/>
      <c r="AM208" s="24"/>
      <c r="AN208" s="59"/>
      <c r="AO208" s="12"/>
      <c r="AP208" s="60"/>
    </row>
    <row r="209" spans="1:42" ht="15.6" x14ac:dyDescent="0.3">
      <c r="A209" s="23"/>
      <c r="B209" s="20" t="s">
        <v>113</v>
      </c>
      <c r="C209" s="20"/>
      <c r="D209" s="20" t="s">
        <v>6</v>
      </c>
      <c r="E209" s="20"/>
      <c r="F209" s="66"/>
      <c r="G209" s="20"/>
      <c r="H209" s="20" t="s">
        <v>7</v>
      </c>
      <c r="I209" s="20" t="s">
        <v>74</v>
      </c>
      <c r="J209" s="50" t="s">
        <v>208</v>
      </c>
      <c r="K209" s="50">
        <v>26909</v>
      </c>
      <c r="L209" s="20" t="s">
        <v>13</v>
      </c>
      <c r="M209" s="20"/>
      <c r="N209" s="20"/>
      <c r="O209" s="20"/>
      <c r="P209" s="20"/>
      <c r="Q209" s="20"/>
      <c r="R209" s="20"/>
      <c r="S209" s="20"/>
      <c r="T209" s="20">
        <v>2017</v>
      </c>
      <c r="U209" s="20"/>
      <c r="V209" s="20"/>
      <c r="W209" s="20" t="s">
        <v>21</v>
      </c>
      <c r="X209" s="20" t="s">
        <v>111</v>
      </c>
      <c r="Y209" s="20"/>
      <c r="Z209" s="20"/>
      <c r="AA209" s="20"/>
      <c r="AB209" s="20"/>
      <c r="AC209" s="20"/>
      <c r="AD209" s="20"/>
      <c r="AE209" s="20"/>
      <c r="AF209" s="20"/>
      <c r="AG209" s="20"/>
      <c r="AH209" s="19"/>
      <c r="AI209" s="20"/>
      <c r="AJ209" s="20"/>
      <c r="AK209" s="20"/>
      <c r="AL209" s="20"/>
      <c r="AM209" s="24"/>
      <c r="AN209" s="59"/>
      <c r="AO209" s="12"/>
      <c r="AP209" s="60"/>
    </row>
    <row r="210" spans="1:42" ht="31.2" x14ac:dyDescent="0.3">
      <c r="A210" s="11"/>
      <c r="B210" s="12" t="s">
        <v>1288</v>
      </c>
      <c r="C210" s="12" t="s">
        <v>1289</v>
      </c>
      <c r="D210" s="12" t="s">
        <v>6</v>
      </c>
      <c r="E210" s="12" t="s">
        <v>81</v>
      </c>
      <c r="F210" s="65" t="s">
        <v>1296</v>
      </c>
      <c r="G210" s="12">
        <v>1878</v>
      </c>
      <c r="H210" s="12" t="s">
        <v>254</v>
      </c>
      <c r="I210" s="12" t="s">
        <v>1293</v>
      </c>
      <c r="J210" s="49" t="s">
        <v>1292</v>
      </c>
      <c r="K210" s="49">
        <v>3977</v>
      </c>
      <c r="L210" s="12" t="s">
        <v>255</v>
      </c>
      <c r="M210" s="12" t="s">
        <v>617</v>
      </c>
      <c r="N210" s="12" t="s">
        <v>1268</v>
      </c>
      <c r="O210" s="12" t="s">
        <v>1268</v>
      </c>
      <c r="P210" s="12"/>
      <c r="Q210" s="12"/>
      <c r="R210" s="12" t="s">
        <v>1294</v>
      </c>
      <c r="S210" s="12"/>
      <c r="T210" s="12">
        <v>1965</v>
      </c>
      <c r="U210" s="12">
        <v>2023</v>
      </c>
      <c r="V210" s="12" t="s">
        <v>1299</v>
      </c>
      <c r="W210" s="12" t="s">
        <v>21</v>
      </c>
      <c r="X210" s="12" t="s">
        <v>39</v>
      </c>
      <c r="Y210" s="12" t="s">
        <v>1259</v>
      </c>
      <c r="Z210" s="12" t="s">
        <v>1295</v>
      </c>
      <c r="AA210" s="12"/>
      <c r="AB210" s="12" t="s">
        <v>1308</v>
      </c>
      <c r="AC210" s="12">
        <v>823</v>
      </c>
      <c r="AD210" s="12"/>
      <c r="AE210" s="12" t="s">
        <v>1091</v>
      </c>
      <c r="AF210" s="12" t="s">
        <v>1178</v>
      </c>
      <c r="AG210" s="12" t="s">
        <v>1039</v>
      </c>
      <c r="AH210" s="13">
        <v>12</v>
      </c>
      <c r="AI210" s="12"/>
      <c r="AJ210" s="12"/>
      <c r="AK210" s="12"/>
      <c r="AL210" s="12" t="s">
        <v>1227</v>
      </c>
      <c r="AM210" s="14"/>
      <c r="AN210" s="59"/>
      <c r="AO210" s="12"/>
      <c r="AP210" s="60"/>
    </row>
    <row r="211" spans="1:42" ht="15.6" x14ac:dyDescent="0.3">
      <c r="A211" s="23"/>
      <c r="B211" s="20" t="s">
        <v>121</v>
      </c>
      <c r="C211" s="20"/>
      <c r="D211" s="20" t="s">
        <v>6</v>
      </c>
      <c r="E211" s="20"/>
      <c r="F211" s="66"/>
      <c r="G211" s="20"/>
      <c r="H211" s="20" t="s">
        <v>21</v>
      </c>
      <c r="I211" s="20" t="s">
        <v>43</v>
      </c>
      <c r="J211" s="50">
        <v>29550</v>
      </c>
      <c r="K211" s="50" t="s">
        <v>204</v>
      </c>
      <c r="L211" s="20" t="s">
        <v>22</v>
      </c>
      <c r="M211" s="20"/>
      <c r="N211" s="20"/>
      <c r="O211" s="20"/>
      <c r="P211" s="20"/>
      <c r="Q211" s="20"/>
      <c r="R211" s="20"/>
      <c r="S211" s="20"/>
      <c r="T211" s="20">
        <v>2006</v>
      </c>
      <c r="U211" s="20"/>
      <c r="V211" s="20"/>
      <c r="W211" s="20" t="s">
        <v>21</v>
      </c>
      <c r="X211" s="20" t="s">
        <v>8</v>
      </c>
      <c r="Y211" s="20"/>
      <c r="Z211" s="20"/>
      <c r="AA211" s="20"/>
      <c r="AB211" s="20"/>
      <c r="AC211" s="20"/>
      <c r="AD211" s="20"/>
      <c r="AE211" s="20"/>
      <c r="AF211" s="20"/>
      <c r="AG211" s="20"/>
      <c r="AH211" s="19"/>
      <c r="AI211" s="20"/>
      <c r="AJ211" s="20"/>
      <c r="AK211" s="20"/>
      <c r="AL211" s="20"/>
      <c r="AM211" s="24"/>
      <c r="AN211" s="59"/>
      <c r="AO211" s="12"/>
      <c r="AP211" s="60"/>
    </row>
    <row r="212" spans="1:42" ht="31.2" x14ac:dyDescent="0.3">
      <c r="A212" s="23"/>
      <c r="B212" s="20" t="s">
        <v>160</v>
      </c>
      <c r="C212" s="20" t="s">
        <v>694</v>
      </c>
      <c r="D212" s="20" t="s">
        <v>6</v>
      </c>
      <c r="E212" s="20" t="s">
        <v>81</v>
      </c>
      <c r="F212" s="66" t="s">
        <v>695</v>
      </c>
      <c r="G212" s="20">
        <v>1971</v>
      </c>
      <c r="H212" s="20" t="s">
        <v>7</v>
      </c>
      <c r="I212" s="20" t="s">
        <v>158</v>
      </c>
      <c r="J212" s="50">
        <v>385</v>
      </c>
      <c r="K212" s="50">
        <v>31148</v>
      </c>
      <c r="L212" s="20" t="s">
        <v>1253</v>
      </c>
      <c r="M212" s="20" t="s">
        <v>617</v>
      </c>
      <c r="N212" s="20" t="s">
        <v>1268</v>
      </c>
      <c r="O212" s="20" t="s">
        <v>1268</v>
      </c>
      <c r="P212" s="20"/>
      <c r="Q212" s="20"/>
      <c r="R212" s="20"/>
      <c r="S212" s="20"/>
      <c r="T212" s="20">
        <v>1988</v>
      </c>
      <c r="U212" s="20"/>
      <c r="V212" s="20"/>
      <c r="W212" s="20" t="s">
        <v>21</v>
      </c>
      <c r="X212" s="20" t="s">
        <v>159</v>
      </c>
      <c r="Y212" s="20"/>
      <c r="Z212" s="20"/>
      <c r="AA212" s="20"/>
      <c r="AB212" s="20" t="s">
        <v>693</v>
      </c>
      <c r="AC212" s="20">
        <v>92</v>
      </c>
      <c r="AD212" s="20"/>
      <c r="AE212" s="20"/>
      <c r="AF212" s="20"/>
      <c r="AG212" s="20" t="s">
        <v>692</v>
      </c>
      <c r="AH212" s="19">
        <v>7.5</v>
      </c>
      <c r="AI212" s="20"/>
      <c r="AJ212" s="20"/>
      <c r="AK212" s="20"/>
      <c r="AL212" s="20"/>
      <c r="AM212" s="24"/>
      <c r="AN212" s="59"/>
      <c r="AO212" s="12"/>
      <c r="AP212" s="60"/>
    </row>
    <row r="213" spans="1:42" ht="31.2" x14ac:dyDescent="0.3">
      <c r="A213" s="23"/>
      <c r="B213" s="20" t="s">
        <v>780</v>
      </c>
      <c r="C213" s="20" t="s">
        <v>781</v>
      </c>
      <c r="D213" s="20" t="s">
        <v>6</v>
      </c>
      <c r="E213" s="20" t="s">
        <v>81</v>
      </c>
      <c r="F213" s="66" t="s">
        <v>786</v>
      </c>
      <c r="G213" s="20" t="s">
        <v>782</v>
      </c>
      <c r="H213" s="20" t="s">
        <v>728</v>
      </c>
      <c r="I213" s="20" t="s">
        <v>785</v>
      </c>
      <c r="J213" s="50" t="s">
        <v>784</v>
      </c>
      <c r="K213" s="50">
        <v>18059</v>
      </c>
      <c r="L213" s="20" t="s">
        <v>728</v>
      </c>
      <c r="M213" s="20" t="s">
        <v>645</v>
      </c>
      <c r="N213" s="20" t="s">
        <v>783</v>
      </c>
      <c r="O213" s="20" t="s">
        <v>1268</v>
      </c>
      <c r="P213" s="20"/>
      <c r="Q213" s="20"/>
      <c r="R213" s="20"/>
      <c r="S213" s="20"/>
      <c r="T213" s="20">
        <v>1996</v>
      </c>
      <c r="U213" s="20"/>
      <c r="V213" s="20"/>
      <c r="W213" s="20" t="s">
        <v>21</v>
      </c>
      <c r="X213" s="20" t="s">
        <v>11</v>
      </c>
      <c r="Y213" s="20"/>
      <c r="Z213" s="20"/>
      <c r="AA213" s="20"/>
      <c r="AB213" s="20" t="s">
        <v>779</v>
      </c>
      <c r="AC213" s="20">
        <v>693</v>
      </c>
      <c r="AD213" s="20"/>
      <c r="AE213" s="20"/>
      <c r="AF213" s="20"/>
      <c r="AG213" s="20" t="s">
        <v>724</v>
      </c>
      <c r="AH213" s="19">
        <v>15</v>
      </c>
      <c r="AI213" s="20"/>
      <c r="AJ213" s="20"/>
      <c r="AK213" s="20"/>
      <c r="AL213" s="20"/>
      <c r="AM213" s="24"/>
      <c r="AN213" s="59"/>
      <c r="AO213" s="12"/>
      <c r="AP213" s="60"/>
    </row>
    <row r="214" spans="1:42" ht="31.2" x14ac:dyDescent="0.3">
      <c r="A214" s="23"/>
      <c r="B214" s="20" t="s">
        <v>790</v>
      </c>
      <c r="C214" s="20" t="s">
        <v>1219</v>
      </c>
      <c r="D214" s="20" t="s">
        <v>82</v>
      </c>
      <c r="E214" s="20" t="s">
        <v>606</v>
      </c>
      <c r="F214" s="66" t="s">
        <v>791</v>
      </c>
      <c r="G214" s="20">
        <v>2009</v>
      </c>
      <c r="H214" s="20" t="s">
        <v>789</v>
      </c>
      <c r="I214" s="20" t="s">
        <v>1202</v>
      </c>
      <c r="J214" s="50" t="s">
        <v>1203</v>
      </c>
      <c r="K214" s="50" t="s">
        <v>1204</v>
      </c>
      <c r="L214" s="20" t="s">
        <v>1205</v>
      </c>
      <c r="M214" s="20" t="s">
        <v>617</v>
      </c>
      <c r="N214" s="20" t="s">
        <v>1268</v>
      </c>
      <c r="O214" s="20" t="s">
        <v>1268</v>
      </c>
      <c r="P214" s="20" t="s">
        <v>1206</v>
      </c>
      <c r="Q214" s="20"/>
      <c r="R214" s="20"/>
      <c r="S214" s="20"/>
      <c r="T214" s="20">
        <v>2013</v>
      </c>
      <c r="U214" s="20"/>
      <c r="V214" s="20"/>
      <c r="W214" s="20" t="s">
        <v>21</v>
      </c>
      <c r="X214" s="20" t="s">
        <v>277</v>
      </c>
      <c r="Y214" s="20"/>
      <c r="Z214" s="20"/>
      <c r="AA214" s="20"/>
      <c r="AB214" s="20" t="s">
        <v>788</v>
      </c>
      <c r="AC214" s="20">
        <v>755</v>
      </c>
      <c r="AD214" s="20"/>
      <c r="AE214" s="20"/>
      <c r="AF214" s="20"/>
      <c r="AG214" s="20" t="s">
        <v>787</v>
      </c>
      <c r="AH214" s="19">
        <v>85</v>
      </c>
      <c r="AI214" s="20"/>
      <c r="AJ214" s="20"/>
      <c r="AK214" s="20"/>
      <c r="AL214" s="20"/>
      <c r="AM214" s="24"/>
      <c r="AN214" s="59"/>
      <c r="AO214" s="12"/>
      <c r="AP214" s="60"/>
    </row>
    <row r="215" spans="1:42" ht="15.6" x14ac:dyDescent="0.3">
      <c r="A215" s="23"/>
      <c r="B215" s="20" t="s">
        <v>792</v>
      </c>
      <c r="C215" s="20" t="s">
        <v>800</v>
      </c>
      <c r="D215" s="20" t="s">
        <v>82</v>
      </c>
      <c r="E215" s="20" t="s">
        <v>79</v>
      </c>
      <c r="F215" s="66" t="s">
        <v>801</v>
      </c>
      <c r="G215" s="20">
        <v>1989</v>
      </c>
      <c r="H215" s="20" t="s">
        <v>49</v>
      </c>
      <c r="I215" s="20" t="s">
        <v>796</v>
      </c>
      <c r="J215" s="50" t="s">
        <v>798</v>
      </c>
      <c r="K215" s="50" t="s">
        <v>797</v>
      </c>
      <c r="L215" s="20" t="s">
        <v>939</v>
      </c>
      <c r="M215" s="20" t="s">
        <v>799</v>
      </c>
      <c r="N215" s="20" t="s">
        <v>1269</v>
      </c>
      <c r="O215" s="20" t="s">
        <v>1269</v>
      </c>
      <c r="P215" s="20"/>
      <c r="Q215" s="20"/>
      <c r="R215" s="20"/>
      <c r="S215" s="20"/>
      <c r="T215" s="20">
        <v>2018</v>
      </c>
      <c r="U215" s="20"/>
      <c r="V215" s="20"/>
      <c r="W215" s="20" t="s">
        <v>21</v>
      </c>
      <c r="X215" s="20" t="s">
        <v>794</v>
      </c>
      <c r="Y215" s="20"/>
      <c r="Z215" s="20"/>
      <c r="AA215" s="20"/>
      <c r="AB215" s="20" t="s">
        <v>795</v>
      </c>
      <c r="AC215" s="20">
        <v>741</v>
      </c>
      <c r="AD215" s="20"/>
      <c r="AE215" s="20"/>
      <c r="AF215" s="20"/>
      <c r="AG215" s="20" t="s">
        <v>793</v>
      </c>
      <c r="AH215" s="19">
        <v>20</v>
      </c>
      <c r="AI215" s="20"/>
      <c r="AJ215" s="20"/>
      <c r="AK215" s="20"/>
      <c r="AL215" s="20"/>
      <c r="AM215" s="24"/>
      <c r="AN215" s="59"/>
      <c r="AO215" s="12"/>
      <c r="AP215" s="60"/>
    </row>
    <row r="216" spans="1:42" ht="15.6" x14ac:dyDescent="0.3">
      <c r="A216" s="23"/>
      <c r="B216" s="20" t="s">
        <v>153</v>
      </c>
      <c r="C216" s="20"/>
      <c r="D216" s="20" t="s">
        <v>82</v>
      </c>
      <c r="E216" s="20"/>
      <c r="F216" s="66"/>
      <c r="G216" s="20"/>
      <c r="H216" s="20" t="s">
        <v>7</v>
      </c>
      <c r="I216" s="20" t="s">
        <v>1200</v>
      </c>
      <c r="J216" s="50">
        <v>21181</v>
      </c>
      <c r="K216" s="50" t="s">
        <v>204</v>
      </c>
      <c r="L216" s="20" t="s">
        <v>14</v>
      </c>
      <c r="M216" s="20"/>
      <c r="N216" s="20"/>
      <c r="O216" s="20"/>
      <c r="P216" s="20"/>
      <c r="Q216" s="20"/>
      <c r="R216" s="20"/>
      <c r="S216" s="20"/>
      <c r="T216" s="20">
        <v>2009</v>
      </c>
      <c r="U216" s="20"/>
      <c r="V216" s="20"/>
      <c r="W216" s="20" t="s">
        <v>21</v>
      </c>
      <c r="X216" s="20" t="s">
        <v>152</v>
      </c>
      <c r="Y216" s="20"/>
      <c r="Z216" s="20"/>
      <c r="AA216" s="20"/>
      <c r="AB216" s="20"/>
      <c r="AC216" s="20"/>
      <c r="AD216" s="20"/>
      <c r="AE216" s="20"/>
      <c r="AF216" s="20"/>
      <c r="AG216" s="20"/>
      <c r="AH216" s="19"/>
      <c r="AI216" s="20"/>
      <c r="AJ216" s="20"/>
      <c r="AK216" s="20"/>
      <c r="AL216" s="20"/>
      <c r="AM216" s="24"/>
      <c r="AN216" s="59"/>
      <c r="AO216" s="12"/>
      <c r="AP216" s="60"/>
    </row>
    <row r="217" spans="1:42" ht="15.6" x14ac:dyDescent="0.3">
      <c r="A217" s="23"/>
      <c r="B217" s="20" t="s">
        <v>278</v>
      </c>
      <c r="C217" s="20" t="s">
        <v>643</v>
      </c>
      <c r="D217" s="20" t="s">
        <v>6</v>
      </c>
      <c r="E217" s="20" t="s">
        <v>79</v>
      </c>
      <c r="F217" s="66" t="s">
        <v>648</v>
      </c>
      <c r="G217" s="20">
        <v>2003</v>
      </c>
      <c r="H217" s="20" t="s">
        <v>276</v>
      </c>
      <c r="I217" s="20" t="s">
        <v>1201</v>
      </c>
      <c r="J217" s="50">
        <v>13237</v>
      </c>
      <c r="K217" s="50" t="s">
        <v>204</v>
      </c>
      <c r="L217" s="20" t="s">
        <v>285</v>
      </c>
      <c r="M217" s="20" t="s">
        <v>617</v>
      </c>
      <c r="N217" s="20" t="s">
        <v>644</v>
      </c>
      <c r="O217" s="20" t="s">
        <v>1268</v>
      </c>
      <c r="P217" s="20"/>
      <c r="Q217" s="20"/>
      <c r="R217" s="20"/>
      <c r="S217" s="20"/>
      <c r="T217" s="20">
        <v>2017</v>
      </c>
      <c r="U217" s="20"/>
      <c r="V217" s="20"/>
      <c r="W217" s="20" t="s">
        <v>21</v>
      </c>
      <c r="X217" s="20" t="s">
        <v>277</v>
      </c>
      <c r="Y217" s="20"/>
      <c r="Z217" s="20"/>
      <c r="AA217" s="20"/>
      <c r="AB217" s="20" t="s">
        <v>647</v>
      </c>
      <c r="AC217" s="20">
        <v>408</v>
      </c>
      <c r="AD217" s="20"/>
      <c r="AE217" s="20"/>
      <c r="AF217" s="20"/>
      <c r="AG217" s="20" t="s">
        <v>646</v>
      </c>
      <c r="AH217" s="19">
        <v>14</v>
      </c>
      <c r="AI217" s="20"/>
      <c r="AJ217" s="20"/>
      <c r="AK217" s="20"/>
      <c r="AL217" s="20"/>
      <c r="AM217" s="24"/>
      <c r="AN217" s="59"/>
      <c r="AO217" s="12"/>
      <c r="AP217" s="60"/>
    </row>
    <row r="218" spans="1:42" ht="15.6" x14ac:dyDescent="0.3">
      <c r="A218" s="23"/>
      <c r="B218" s="20" t="s">
        <v>236</v>
      </c>
      <c r="C218" s="20" t="s">
        <v>1000</v>
      </c>
      <c r="D218" s="20" t="s">
        <v>6</v>
      </c>
      <c r="E218" s="20" t="s">
        <v>81</v>
      </c>
      <c r="F218" s="66" t="s">
        <v>1001</v>
      </c>
      <c r="G218" s="20">
        <v>1873</v>
      </c>
      <c r="H218" s="20" t="s">
        <v>126</v>
      </c>
      <c r="I218" s="20" t="s">
        <v>237</v>
      </c>
      <c r="J218" s="50" t="s">
        <v>238</v>
      </c>
      <c r="K218" s="50">
        <v>1910</v>
      </c>
      <c r="L218" s="20" t="s">
        <v>126</v>
      </c>
      <c r="M218" s="20" t="s">
        <v>617</v>
      </c>
      <c r="N218" s="20" t="s">
        <v>1268</v>
      </c>
      <c r="O218" s="20" t="s">
        <v>1268</v>
      </c>
      <c r="P218" s="20"/>
      <c r="Q218" s="20"/>
      <c r="R218" s="20"/>
      <c r="S218" s="20"/>
      <c r="T218" s="20">
        <v>2013</v>
      </c>
      <c r="U218" s="20"/>
      <c r="V218" s="20"/>
      <c r="W218" s="20" t="s">
        <v>21</v>
      </c>
      <c r="X218" s="20" t="s">
        <v>20</v>
      </c>
      <c r="Y218" s="20"/>
      <c r="Z218" s="20"/>
      <c r="AA218" s="20"/>
      <c r="AB218" s="20" t="s">
        <v>998</v>
      </c>
      <c r="AC218" s="20">
        <v>285</v>
      </c>
      <c r="AD218" s="20"/>
      <c r="AE218" s="20"/>
      <c r="AF218" s="20"/>
      <c r="AG218" s="20" t="s">
        <v>999</v>
      </c>
      <c r="AH218" s="19">
        <v>4.9000000000000004</v>
      </c>
      <c r="AI218" s="20"/>
      <c r="AJ218" s="20"/>
      <c r="AK218" s="20"/>
      <c r="AL218" s="20"/>
      <c r="AM218" s="24"/>
      <c r="AN218" s="59"/>
      <c r="AO218" s="12"/>
      <c r="AP218" s="60"/>
    </row>
    <row r="219" spans="1:42" ht="15.6" x14ac:dyDescent="0.3">
      <c r="A219" s="23"/>
      <c r="B219" s="20" t="s">
        <v>243</v>
      </c>
      <c r="C219" s="20" t="s">
        <v>1003</v>
      </c>
      <c r="D219" s="20" t="s">
        <v>6</v>
      </c>
      <c r="E219" s="20" t="s">
        <v>81</v>
      </c>
      <c r="F219" s="66" t="s">
        <v>1005</v>
      </c>
      <c r="G219" s="20" t="s">
        <v>1004</v>
      </c>
      <c r="H219" s="20" t="s">
        <v>126</v>
      </c>
      <c r="I219" s="20" t="s">
        <v>237</v>
      </c>
      <c r="J219" s="50" t="s">
        <v>238</v>
      </c>
      <c r="K219" s="50">
        <v>1910</v>
      </c>
      <c r="L219" s="20" t="s">
        <v>126</v>
      </c>
      <c r="M219" s="20" t="s">
        <v>617</v>
      </c>
      <c r="N219" s="20" t="s">
        <v>1268</v>
      </c>
      <c r="O219" s="20" t="s">
        <v>1268</v>
      </c>
      <c r="P219" s="20"/>
      <c r="Q219" s="20"/>
      <c r="R219" s="20"/>
      <c r="S219" s="20"/>
      <c r="T219" s="20">
        <v>2013</v>
      </c>
      <c r="U219" s="20"/>
      <c r="V219" s="20"/>
      <c r="W219" s="20" t="s">
        <v>21</v>
      </c>
      <c r="X219" s="20" t="s">
        <v>242</v>
      </c>
      <c r="Y219" s="20"/>
      <c r="Z219" s="20"/>
      <c r="AA219" s="20"/>
      <c r="AB219" s="20" t="s">
        <v>1002</v>
      </c>
      <c r="AC219" s="20">
        <v>266</v>
      </c>
      <c r="AD219" s="20"/>
      <c r="AE219" s="20"/>
      <c r="AF219" s="20"/>
      <c r="AG219" s="20" t="s">
        <v>967</v>
      </c>
      <c r="AH219" s="19">
        <v>3.9</v>
      </c>
      <c r="AI219" s="20"/>
      <c r="AJ219" s="20"/>
      <c r="AK219" s="20"/>
      <c r="AL219" s="20"/>
      <c r="AM219" s="24"/>
      <c r="AN219" s="59"/>
      <c r="AO219" s="12"/>
      <c r="AP219" s="60"/>
    </row>
    <row r="220" spans="1:42" ht="15.6" x14ac:dyDescent="0.3">
      <c r="A220" s="23"/>
      <c r="B220" s="20" t="s">
        <v>162</v>
      </c>
      <c r="C220" s="20"/>
      <c r="D220" s="20" t="s">
        <v>6</v>
      </c>
      <c r="E220" s="20"/>
      <c r="F220" s="66"/>
      <c r="G220" s="20"/>
      <c r="H220" s="20" t="s">
        <v>7</v>
      </c>
      <c r="I220" s="20" t="s">
        <v>161</v>
      </c>
      <c r="J220" s="50">
        <v>29680</v>
      </c>
      <c r="K220" s="50">
        <v>41627</v>
      </c>
      <c r="L220" s="20" t="s">
        <v>14</v>
      </c>
      <c r="M220" s="20"/>
      <c r="N220" s="20"/>
      <c r="O220" s="20"/>
      <c r="P220" s="20"/>
      <c r="Q220" s="20"/>
      <c r="R220" s="20"/>
      <c r="S220" s="20"/>
      <c r="T220" s="20">
        <v>2007</v>
      </c>
      <c r="U220" s="20"/>
      <c r="V220" s="20"/>
      <c r="W220" s="20" t="s">
        <v>21</v>
      </c>
      <c r="X220" s="20" t="s">
        <v>8</v>
      </c>
      <c r="Y220" s="20"/>
      <c r="Z220" s="20"/>
      <c r="AA220" s="20"/>
      <c r="AB220" s="20"/>
      <c r="AC220" s="20"/>
      <c r="AD220" s="20"/>
      <c r="AE220" s="20"/>
      <c r="AF220" s="20"/>
      <c r="AG220" s="20"/>
      <c r="AH220" s="19"/>
      <c r="AI220" s="20"/>
      <c r="AJ220" s="20"/>
      <c r="AK220" s="20"/>
      <c r="AL220" s="20"/>
      <c r="AM220" s="24"/>
      <c r="AN220" s="59"/>
      <c r="AO220" s="12"/>
      <c r="AP220" s="60"/>
    </row>
    <row r="221" spans="1:42" ht="15.6" x14ac:dyDescent="0.3">
      <c r="A221" s="23"/>
      <c r="B221" s="20" t="s">
        <v>266</v>
      </c>
      <c r="C221" s="20" t="s">
        <v>697</v>
      </c>
      <c r="D221" s="20" t="s">
        <v>6</v>
      </c>
      <c r="E221" s="20" t="s">
        <v>76</v>
      </c>
      <c r="F221" s="66" t="s">
        <v>698</v>
      </c>
      <c r="G221" s="20">
        <v>1917</v>
      </c>
      <c r="H221" s="20" t="s">
        <v>49</v>
      </c>
      <c r="I221" s="20" t="s">
        <v>267</v>
      </c>
      <c r="J221" s="50" t="s">
        <v>268</v>
      </c>
      <c r="K221" s="50">
        <v>20814</v>
      </c>
      <c r="L221" s="20" t="s">
        <v>283</v>
      </c>
      <c r="M221" s="20" t="s">
        <v>617</v>
      </c>
      <c r="N221" s="20" t="s">
        <v>1268</v>
      </c>
      <c r="O221" s="20" t="s">
        <v>1268</v>
      </c>
      <c r="P221" s="20"/>
      <c r="Q221" s="20"/>
      <c r="R221" s="20"/>
      <c r="S221" s="20"/>
      <c r="T221" s="20">
        <v>1976</v>
      </c>
      <c r="U221" s="20"/>
      <c r="V221" s="20"/>
      <c r="W221" s="20" t="s">
        <v>21</v>
      </c>
      <c r="X221" s="20" t="s">
        <v>269</v>
      </c>
      <c r="Y221" s="20"/>
      <c r="Z221" s="20"/>
      <c r="AA221" s="20"/>
      <c r="AB221" s="20" t="s">
        <v>696</v>
      </c>
      <c r="AC221" s="20">
        <v>106</v>
      </c>
      <c r="AD221" s="20"/>
      <c r="AE221" s="20"/>
      <c r="AF221" s="20"/>
      <c r="AG221" s="20" t="s">
        <v>682</v>
      </c>
      <c r="AH221" s="19">
        <v>10</v>
      </c>
      <c r="AI221" s="20"/>
      <c r="AJ221" s="20"/>
      <c r="AK221" s="20"/>
      <c r="AL221" s="20"/>
      <c r="AM221" s="24"/>
      <c r="AN221" s="59"/>
      <c r="AO221" s="12"/>
      <c r="AP221" s="60"/>
    </row>
    <row r="222" spans="1:42" ht="15.6" x14ac:dyDescent="0.3">
      <c r="A222" s="23"/>
      <c r="B222" s="20" t="s">
        <v>384</v>
      </c>
      <c r="C222" s="20"/>
      <c r="D222" s="20" t="s">
        <v>6</v>
      </c>
      <c r="E222" s="20"/>
      <c r="F222" s="66"/>
      <c r="G222" s="20"/>
      <c r="H222" s="20" t="s">
        <v>7</v>
      </c>
      <c r="I222" s="20" t="s">
        <v>382</v>
      </c>
      <c r="J222" s="50" t="s">
        <v>383</v>
      </c>
      <c r="K222" s="50">
        <v>335</v>
      </c>
      <c r="L222" s="20" t="s">
        <v>386</v>
      </c>
      <c r="M222" s="20"/>
      <c r="N222" s="20"/>
      <c r="O222" s="20"/>
      <c r="P222" s="20"/>
      <c r="Q222" s="20"/>
      <c r="R222" s="20"/>
      <c r="S222" s="20"/>
      <c r="T222" s="20">
        <v>2019</v>
      </c>
      <c r="U222" s="20"/>
      <c r="V222" s="20"/>
      <c r="W222" s="20" t="s">
        <v>21</v>
      </c>
      <c r="X222" s="20" t="s">
        <v>8</v>
      </c>
      <c r="Y222" s="20"/>
      <c r="Z222" s="20"/>
      <c r="AA222" s="20"/>
      <c r="AB222" s="20"/>
      <c r="AC222" s="20"/>
      <c r="AD222" s="20"/>
      <c r="AE222" s="20"/>
      <c r="AF222" s="20"/>
      <c r="AG222" s="20"/>
      <c r="AH222" s="19"/>
      <c r="AI222" s="20"/>
      <c r="AJ222" s="20"/>
      <c r="AK222" s="20"/>
      <c r="AL222" s="20"/>
      <c r="AM222" s="24"/>
      <c r="AN222" s="59"/>
      <c r="AO222" s="12"/>
      <c r="AP222" s="60"/>
    </row>
    <row r="223" spans="1:42" ht="15.6" x14ac:dyDescent="0.3">
      <c r="A223" s="23"/>
      <c r="B223" s="20" t="s">
        <v>367</v>
      </c>
      <c r="C223" s="20"/>
      <c r="D223" s="20" t="s">
        <v>6</v>
      </c>
      <c r="E223" s="20"/>
      <c r="F223" s="66"/>
      <c r="G223" s="20"/>
      <c r="H223" s="20" t="s">
        <v>7</v>
      </c>
      <c r="I223" s="20" t="s">
        <v>368</v>
      </c>
      <c r="J223" s="50" t="s">
        <v>369</v>
      </c>
      <c r="K223" s="50">
        <v>15063</v>
      </c>
      <c r="L223" s="20" t="s">
        <v>13</v>
      </c>
      <c r="M223" s="20"/>
      <c r="N223" s="20"/>
      <c r="O223" s="20"/>
      <c r="P223" s="20"/>
      <c r="Q223" s="20"/>
      <c r="R223" s="20"/>
      <c r="S223" s="20"/>
      <c r="T223" s="20">
        <v>1994</v>
      </c>
      <c r="U223" s="20"/>
      <c r="V223" s="20"/>
      <c r="W223" s="20" t="s">
        <v>21</v>
      </c>
      <c r="X223" s="20" t="s">
        <v>8</v>
      </c>
      <c r="Y223" s="20"/>
      <c r="Z223" s="20"/>
      <c r="AA223" s="20"/>
      <c r="AB223" s="20"/>
      <c r="AC223" s="20"/>
      <c r="AD223" s="20"/>
      <c r="AE223" s="20"/>
      <c r="AF223" s="20"/>
      <c r="AG223" s="20"/>
      <c r="AH223" s="19"/>
      <c r="AI223" s="20"/>
      <c r="AJ223" s="20"/>
      <c r="AK223" s="20"/>
      <c r="AL223" s="20"/>
      <c r="AM223" s="24"/>
      <c r="AN223" s="59"/>
      <c r="AO223" s="12"/>
      <c r="AP223" s="60"/>
    </row>
    <row r="224" spans="1:42" ht="31.2" x14ac:dyDescent="0.3">
      <c r="A224" s="23"/>
      <c r="B224" s="20" t="s">
        <v>922</v>
      </c>
      <c r="C224" s="20" t="s">
        <v>925</v>
      </c>
      <c r="D224" s="20" t="s">
        <v>6</v>
      </c>
      <c r="E224" s="20" t="s">
        <v>77</v>
      </c>
      <c r="F224" s="66" t="s">
        <v>930</v>
      </c>
      <c r="G224" s="20" t="s">
        <v>926</v>
      </c>
      <c r="H224" s="20" t="s">
        <v>7</v>
      </c>
      <c r="I224" s="20" t="s">
        <v>927</v>
      </c>
      <c r="J224" s="50" t="s">
        <v>929</v>
      </c>
      <c r="K224" s="50">
        <v>14273</v>
      </c>
      <c r="L224" s="20" t="s">
        <v>386</v>
      </c>
      <c r="M224" s="20" t="s">
        <v>617</v>
      </c>
      <c r="N224" s="20" t="s">
        <v>928</v>
      </c>
      <c r="O224" s="20" t="s">
        <v>1268</v>
      </c>
      <c r="P224" s="20"/>
      <c r="Q224" s="20"/>
      <c r="R224" s="20"/>
      <c r="S224" s="20"/>
      <c r="T224" s="20">
        <v>1981</v>
      </c>
      <c r="U224" s="20"/>
      <c r="V224" s="20"/>
      <c r="W224" s="20" t="s">
        <v>21</v>
      </c>
      <c r="X224" s="20" t="s">
        <v>277</v>
      </c>
      <c r="Y224" s="20"/>
      <c r="Z224" s="20"/>
      <c r="AA224" s="20"/>
      <c r="AB224" s="20" t="s">
        <v>924</v>
      </c>
      <c r="AC224" s="20">
        <v>470</v>
      </c>
      <c r="AD224" s="20"/>
      <c r="AE224" s="20"/>
      <c r="AF224" s="20"/>
      <c r="AG224" s="20" t="s">
        <v>923</v>
      </c>
      <c r="AH224" s="19">
        <f>(20000*2.6805)/1936.27</f>
        <v>27.687254360187371</v>
      </c>
      <c r="AI224" s="20" t="s">
        <v>1349</v>
      </c>
      <c r="AJ224" s="20"/>
      <c r="AK224" s="20"/>
      <c r="AL224" s="20"/>
      <c r="AM224" s="24"/>
      <c r="AN224" s="59"/>
      <c r="AO224" s="12"/>
      <c r="AP224" s="60"/>
    </row>
    <row r="225" spans="1:42" ht="15.6" x14ac:dyDescent="0.3">
      <c r="A225" s="23"/>
      <c r="B225" s="20"/>
      <c r="C225" s="20"/>
      <c r="D225" s="20"/>
      <c r="E225" s="20"/>
      <c r="F225" s="66"/>
      <c r="G225" s="20"/>
      <c r="H225" s="20"/>
      <c r="I225" s="20"/>
      <c r="J225" s="50"/>
      <c r="K225" s="5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19"/>
      <c r="AI225" s="20"/>
      <c r="AJ225" s="20"/>
      <c r="AK225" s="20"/>
      <c r="AL225" s="20"/>
      <c r="AM225" s="24"/>
      <c r="AN225" s="59"/>
      <c r="AO225" s="12"/>
      <c r="AP225" s="60"/>
    </row>
    <row r="226" spans="1:42" ht="15.6" x14ac:dyDescent="0.3">
      <c r="A226" s="23"/>
      <c r="B226" s="20"/>
      <c r="C226" s="20"/>
      <c r="D226" s="20"/>
      <c r="E226" s="20"/>
      <c r="F226" s="66"/>
      <c r="G226" s="20"/>
      <c r="H226" s="20"/>
      <c r="I226" s="20"/>
      <c r="J226" s="50"/>
      <c r="K226" s="5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19"/>
      <c r="AI226" s="20"/>
      <c r="AJ226" s="20"/>
      <c r="AK226" s="20"/>
      <c r="AL226" s="20"/>
      <c r="AM226" s="24"/>
      <c r="AN226" s="59"/>
      <c r="AO226" s="12"/>
      <c r="AP226" s="60"/>
    </row>
    <row r="227" spans="1:42" ht="15.6" x14ac:dyDescent="0.3">
      <c r="A227" s="23"/>
      <c r="B227" s="20"/>
      <c r="C227" s="20"/>
      <c r="D227" s="20"/>
      <c r="E227" s="20"/>
      <c r="F227" s="66"/>
      <c r="G227" s="20"/>
      <c r="H227" s="20"/>
      <c r="I227" s="20"/>
      <c r="J227" s="50"/>
      <c r="K227" s="5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19"/>
      <c r="AI227" s="20"/>
      <c r="AJ227" s="20"/>
      <c r="AK227" s="20"/>
      <c r="AL227" s="20"/>
      <c r="AM227" s="24"/>
      <c r="AN227" s="59"/>
      <c r="AO227" s="12"/>
      <c r="AP227" s="60"/>
    </row>
    <row r="228" spans="1:42" ht="15.6" x14ac:dyDescent="0.3">
      <c r="A228" s="23"/>
      <c r="B228" s="20"/>
      <c r="C228" s="20"/>
      <c r="D228" s="20"/>
      <c r="E228" s="20"/>
      <c r="F228" s="66"/>
      <c r="G228" s="20"/>
      <c r="H228" s="20"/>
      <c r="I228" s="20"/>
      <c r="J228" s="50"/>
      <c r="K228" s="5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19"/>
      <c r="AI228" s="20"/>
      <c r="AJ228" s="20"/>
      <c r="AK228" s="20"/>
      <c r="AL228" s="20"/>
      <c r="AM228" s="24"/>
      <c r="AN228" s="59"/>
      <c r="AO228" s="12"/>
      <c r="AP228" s="60"/>
    </row>
    <row r="229" spans="1:42" ht="15.6" x14ac:dyDescent="0.3">
      <c r="A229" s="23"/>
      <c r="B229" s="20"/>
      <c r="C229" s="20"/>
      <c r="D229" s="20"/>
      <c r="E229" s="20"/>
      <c r="F229" s="66"/>
      <c r="G229" s="20"/>
      <c r="H229" s="20"/>
      <c r="I229" s="20"/>
      <c r="J229" s="50"/>
      <c r="K229" s="5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19"/>
      <c r="AI229" s="20"/>
      <c r="AJ229" s="20"/>
      <c r="AK229" s="20"/>
      <c r="AL229" s="20"/>
      <c r="AM229" s="24"/>
      <c r="AN229" s="59"/>
      <c r="AO229" s="12"/>
      <c r="AP229" s="60"/>
    </row>
    <row r="230" spans="1:42" ht="15.6" x14ac:dyDescent="0.3">
      <c r="A230" s="23"/>
      <c r="B230" s="20"/>
      <c r="C230" s="20"/>
      <c r="D230" s="20"/>
      <c r="E230" s="20"/>
      <c r="F230" s="66"/>
      <c r="G230" s="20"/>
      <c r="H230" s="20"/>
      <c r="I230" s="20"/>
      <c r="J230" s="50"/>
      <c r="K230" s="5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19"/>
      <c r="AI230" s="20"/>
      <c r="AJ230" s="20"/>
      <c r="AK230" s="20"/>
      <c r="AL230" s="20"/>
      <c r="AM230" s="24"/>
      <c r="AN230" s="59"/>
      <c r="AO230" s="12"/>
      <c r="AP230" s="60"/>
    </row>
    <row r="231" spans="1:42" ht="15.6" x14ac:dyDescent="0.3">
      <c r="A231" s="23"/>
      <c r="B231" s="20"/>
      <c r="C231" s="20"/>
      <c r="D231" s="20"/>
      <c r="E231" s="20"/>
      <c r="F231" s="66"/>
      <c r="G231" s="20"/>
      <c r="H231" s="20"/>
      <c r="I231" s="20"/>
      <c r="J231" s="50"/>
      <c r="K231" s="5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19"/>
      <c r="AI231" s="20"/>
      <c r="AJ231" s="20"/>
      <c r="AK231" s="20"/>
      <c r="AL231" s="20"/>
      <c r="AM231" s="24"/>
      <c r="AN231" s="59"/>
      <c r="AO231" s="12"/>
      <c r="AP231" s="60"/>
    </row>
    <row r="232" spans="1:42" ht="15.6" x14ac:dyDescent="0.3">
      <c r="A232" s="23"/>
      <c r="B232" s="20"/>
      <c r="C232" s="20"/>
      <c r="D232" s="20"/>
      <c r="E232" s="20"/>
      <c r="F232" s="66"/>
      <c r="G232" s="20"/>
      <c r="H232" s="20"/>
      <c r="I232" s="20"/>
      <c r="J232" s="50"/>
      <c r="K232" s="5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19"/>
      <c r="AI232" s="20"/>
      <c r="AJ232" s="20"/>
      <c r="AK232" s="20"/>
      <c r="AL232" s="20"/>
      <c r="AM232" s="24"/>
      <c r="AN232" s="59"/>
      <c r="AO232" s="12"/>
      <c r="AP232" s="60"/>
    </row>
    <row r="233" spans="1:42" ht="15.6" x14ac:dyDescent="0.3">
      <c r="A233" s="23"/>
      <c r="B233" s="20"/>
      <c r="C233" s="20"/>
      <c r="D233" s="20"/>
      <c r="E233" s="20"/>
      <c r="F233" s="66"/>
      <c r="G233" s="20"/>
      <c r="H233" s="20"/>
      <c r="I233" s="20"/>
      <c r="J233" s="50"/>
      <c r="K233" s="5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19"/>
      <c r="AI233" s="20"/>
      <c r="AJ233" s="20"/>
      <c r="AK233" s="20"/>
      <c r="AL233" s="20"/>
      <c r="AM233" s="24"/>
      <c r="AN233" s="59"/>
      <c r="AO233" s="12"/>
      <c r="AP233" s="60"/>
    </row>
    <row r="234" spans="1:42" ht="15.6" x14ac:dyDescent="0.3">
      <c r="A234" s="23"/>
      <c r="B234" s="20"/>
      <c r="C234" s="20"/>
      <c r="D234" s="20"/>
      <c r="E234" s="20"/>
      <c r="F234" s="66"/>
      <c r="G234" s="20"/>
      <c r="H234" s="20"/>
      <c r="I234" s="20"/>
      <c r="J234" s="50"/>
      <c r="K234" s="5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19"/>
      <c r="AI234" s="20"/>
      <c r="AJ234" s="20"/>
      <c r="AK234" s="20"/>
      <c r="AL234" s="20"/>
      <c r="AM234" s="24"/>
      <c r="AN234" s="59"/>
      <c r="AO234" s="12"/>
      <c r="AP234" s="60"/>
    </row>
    <row r="235" spans="1:42" ht="15.6" x14ac:dyDescent="0.3">
      <c r="A235" s="23"/>
      <c r="B235" s="20"/>
      <c r="C235" s="20"/>
      <c r="D235" s="20"/>
      <c r="E235" s="20"/>
      <c r="F235" s="66"/>
      <c r="G235" s="20"/>
      <c r="H235" s="20"/>
      <c r="I235" s="20"/>
      <c r="J235" s="50"/>
      <c r="K235" s="5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19"/>
      <c r="AI235" s="20"/>
      <c r="AJ235" s="20"/>
      <c r="AK235" s="20"/>
      <c r="AL235" s="20"/>
      <c r="AM235" s="24"/>
      <c r="AN235" s="59"/>
      <c r="AO235" s="12"/>
      <c r="AP235" s="60"/>
    </row>
    <row r="236" spans="1:42" ht="15.6" x14ac:dyDescent="0.3">
      <c r="A236" s="23"/>
      <c r="B236" s="20"/>
      <c r="C236" s="20"/>
      <c r="D236" s="20"/>
      <c r="E236" s="20"/>
      <c r="F236" s="66"/>
      <c r="G236" s="20"/>
      <c r="H236" s="20"/>
      <c r="I236" s="20"/>
      <c r="J236" s="50"/>
      <c r="K236" s="5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19"/>
      <c r="AI236" s="20"/>
      <c r="AJ236" s="20"/>
      <c r="AK236" s="20"/>
      <c r="AL236" s="20"/>
      <c r="AM236" s="24"/>
      <c r="AN236" s="59"/>
      <c r="AO236" s="12"/>
      <c r="AP236" s="60"/>
    </row>
    <row r="237" spans="1:42" ht="15.6" x14ac:dyDescent="0.3">
      <c r="A237" s="23"/>
      <c r="B237" s="20"/>
      <c r="C237" s="20"/>
      <c r="D237" s="20"/>
      <c r="E237" s="20"/>
      <c r="F237" s="66"/>
      <c r="G237" s="20"/>
      <c r="H237" s="20"/>
      <c r="I237" s="20"/>
      <c r="J237" s="50"/>
      <c r="K237" s="5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19"/>
      <c r="AI237" s="20"/>
      <c r="AJ237" s="20"/>
      <c r="AK237" s="20"/>
      <c r="AL237" s="20"/>
      <c r="AM237" s="24"/>
      <c r="AN237" s="59"/>
      <c r="AO237" s="12"/>
      <c r="AP237" s="60"/>
    </row>
    <row r="238" spans="1:42" ht="15.6" x14ac:dyDescent="0.3">
      <c r="A238" s="23"/>
      <c r="B238" s="20"/>
      <c r="C238" s="20"/>
      <c r="D238" s="20"/>
      <c r="E238" s="20"/>
      <c r="F238" s="66"/>
      <c r="G238" s="20"/>
      <c r="H238" s="20"/>
      <c r="I238" s="20"/>
      <c r="J238" s="50"/>
      <c r="K238" s="5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19"/>
      <c r="AI238" s="20"/>
      <c r="AJ238" s="20"/>
      <c r="AK238" s="20"/>
      <c r="AL238" s="20"/>
      <c r="AM238" s="24"/>
      <c r="AN238" s="59"/>
      <c r="AO238" s="12"/>
      <c r="AP238" s="60"/>
    </row>
    <row r="239" spans="1:42" ht="15.6" x14ac:dyDescent="0.3">
      <c r="A239" s="23"/>
      <c r="B239" s="20"/>
      <c r="C239" s="20"/>
      <c r="D239" s="20"/>
      <c r="E239" s="20"/>
      <c r="F239" s="66"/>
      <c r="G239" s="20"/>
      <c r="H239" s="20"/>
      <c r="I239" s="20"/>
      <c r="J239" s="50"/>
      <c r="K239" s="5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19"/>
      <c r="AI239" s="20"/>
      <c r="AJ239" s="20"/>
      <c r="AK239" s="20"/>
      <c r="AL239" s="20"/>
      <c r="AM239" s="24"/>
      <c r="AN239" s="59"/>
      <c r="AO239" s="12"/>
      <c r="AP239" s="60"/>
    </row>
    <row r="240" spans="1:42" ht="15.6" x14ac:dyDescent="0.3">
      <c r="A240" s="23"/>
      <c r="B240" s="20"/>
      <c r="C240" s="20"/>
      <c r="D240" s="20"/>
      <c r="E240" s="20"/>
      <c r="F240" s="66"/>
      <c r="G240" s="20"/>
      <c r="H240" s="20"/>
      <c r="I240" s="20"/>
      <c r="J240" s="50"/>
      <c r="K240" s="5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19"/>
      <c r="AI240" s="20"/>
      <c r="AJ240" s="20"/>
      <c r="AK240" s="20"/>
      <c r="AL240" s="20"/>
      <c r="AM240" s="24"/>
      <c r="AN240" s="59"/>
      <c r="AO240" s="12"/>
      <c r="AP240" s="60"/>
    </row>
    <row r="241" spans="1:42" ht="15.6" x14ac:dyDescent="0.3">
      <c r="A241" s="23"/>
      <c r="B241" s="20"/>
      <c r="C241" s="20"/>
      <c r="D241" s="20"/>
      <c r="E241" s="20"/>
      <c r="F241" s="66"/>
      <c r="G241" s="20"/>
      <c r="H241" s="20"/>
      <c r="I241" s="20"/>
      <c r="J241" s="50"/>
      <c r="K241" s="5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19"/>
      <c r="AI241" s="20"/>
      <c r="AJ241" s="20"/>
      <c r="AK241" s="20"/>
      <c r="AL241" s="20"/>
      <c r="AM241" s="24"/>
      <c r="AN241" s="59"/>
      <c r="AO241" s="12"/>
      <c r="AP241" s="60"/>
    </row>
    <row r="242" spans="1:42" ht="15.6" x14ac:dyDescent="0.3">
      <c r="A242" s="23"/>
      <c r="B242" s="20"/>
      <c r="C242" s="20"/>
      <c r="D242" s="20"/>
      <c r="E242" s="20"/>
      <c r="F242" s="66"/>
      <c r="G242" s="20"/>
      <c r="H242" s="20"/>
      <c r="I242" s="20"/>
      <c r="J242" s="50"/>
      <c r="K242" s="5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19"/>
      <c r="AI242" s="20"/>
      <c r="AJ242" s="20"/>
      <c r="AK242" s="20"/>
      <c r="AL242" s="20"/>
      <c r="AM242" s="24"/>
      <c r="AN242" s="59"/>
      <c r="AO242" s="12"/>
      <c r="AP242" s="60"/>
    </row>
    <row r="243" spans="1:42" ht="15.6" x14ac:dyDescent="0.3">
      <c r="A243" s="23"/>
      <c r="B243" s="20"/>
      <c r="C243" s="20"/>
      <c r="D243" s="20"/>
      <c r="E243" s="20"/>
      <c r="F243" s="66"/>
      <c r="G243" s="20"/>
      <c r="H243" s="20"/>
      <c r="I243" s="20"/>
      <c r="J243" s="50"/>
      <c r="K243" s="5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19"/>
      <c r="AI243" s="20"/>
      <c r="AJ243" s="20"/>
      <c r="AK243" s="20"/>
      <c r="AL243" s="20"/>
      <c r="AM243" s="24"/>
      <c r="AN243" s="59"/>
      <c r="AO243" s="12"/>
      <c r="AP243" s="60"/>
    </row>
    <row r="244" spans="1:42" ht="15.6" x14ac:dyDescent="0.3">
      <c r="A244" s="23"/>
      <c r="B244" s="20"/>
      <c r="C244" s="20"/>
      <c r="D244" s="20"/>
      <c r="E244" s="20"/>
      <c r="F244" s="66"/>
      <c r="G244" s="20"/>
      <c r="H244" s="20"/>
      <c r="I244" s="20"/>
      <c r="J244" s="50"/>
      <c r="K244" s="5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19"/>
      <c r="AI244" s="20"/>
      <c r="AJ244" s="20"/>
      <c r="AK244" s="20"/>
      <c r="AL244" s="20"/>
      <c r="AM244" s="24"/>
      <c r="AN244" s="59"/>
      <c r="AO244" s="12"/>
      <c r="AP244" s="60"/>
    </row>
    <row r="245" spans="1:42" ht="15.6" x14ac:dyDescent="0.3">
      <c r="A245" s="23"/>
      <c r="B245" s="20"/>
      <c r="C245" s="20"/>
      <c r="D245" s="20"/>
      <c r="E245" s="20"/>
      <c r="F245" s="66"/>
      <c r="G245" s="20"/>
      <c r="H245" s="20"/>
      <c r="I245" s="20"/>
      <c r="J245" s="50"/>
      <c r="K245" s="5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19"/>
      <c r="AI245" s="20"/>
      <c r="AJ245" s="20"/>
      <c r="AK245" s="20"/>
      <c r="AL245" s="20"/>
      <c r="AM245" s="24"/>
      <c r="AN245" s="59"/>
      <c r="AO245" s="12"/>
      <c r="AP245" s="60"/>
    </row>
    <row r="246" spans="1:42" ht="15.6" x14ac:dyDescent="0.3">
      <c r="A246" s="23"/>
      <c r="B246" s="20"/>
      <c r="C246" s="20"/>
      <c r="D246" s="20"/>
      <c r="E246" s="20"/>
      <c r="F246" s="66"/>
      <c r="G246" s="20"/>
      <c r="H246" s="20"/>
      <c r="I246" s="20"/>
      <c r="J246" s="50"/>
      <c r="K246" s="5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19"/>
      <c r="AI246" s="20"/>
      <c r="AJ246" s="20"/>
      <c r="AK246" s="20"/>
      <c r="AL246" s="20"/>
      <c r="AM246" s="24"/>
      <c r="AN246" s="59"/>
      <c r="AO246" s="12"/>
      <c r="AP246" s="60"/>
    </row>
    <row r="247" spans="1:42" ht="15.6" x14ac:dyDescent="0.3">
      <c r="A247" s="23"/>
      <c r="B247" s="20"/>
      <c r="C247" s="20"/>
      <c r="D247" s="20"/>
      <c r="E247" s="20"/>
      <c r="F247" s="66"/>
      <c r="G247" s="20"/>
      <c r="H247" s="20"/>
      <c r="I247" s="20"/>
      <c r="J247" s="50"/>
      <c r="K247" s="5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19"/>
      <c r="AI247" s="20"/>
      <c r="AJ247" s="20"/>
      <c r="AK247" s="20"/>
      <c r="AL247" s="20"/>
      <c r="AM247" s="24"/>
      <c r="AN247" s="59"/>
      <c r="AO247" s="12"/>
      <c r="AP247" s="60"/>
    </row>
    <row r="248" spans="1:42" ht="15.6" x14ac:dyDescent="0.3">
      <c r="A248" s="23"/>
      <c r="B248" s="20"/>
      <c r="C248" s="20"/>
      <c r="D248" s="20"/>
      <c r="E248" s="20"/>
      <c r="F248" s="66"/>
      <c r="G248" s="20"/>
      <c r="H248" s="20"/>
      <c r="I248" s="20"/>
      <c r="J248" s="50"/>
      <c r="K248" s="5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19"/>
      <c r="AI248" s="20"/>
      <c r="AJ248" s="20"/>
      <c r="AK248" s="20"/>
      <c r="AL248" s="20"/>
      <c r="AM248" s="24"/>
      <c r="AN248" s="59"/>
      <c r="AO248" s="12"/>
      <c r="AP248" s="60"/>
    </row>
    <row r="249" spans="1:42" ht="15.6" x14ac:dyDescent="0.3">
      <c r="A249" s="23"/>
      <c r="B249" s="20"/>
      <c r="C249" s="20"/>
      <c r="D249" s="20"/>
      <c r="E249" s="20"/>
      <c r="F249" s="66"/>
      <c r="G249" s="20"/>
      <c r="H249" s="20"/>
      <c r="I249" s="20"/>
      <c r="J249" s="50"/>
      <c r="K249" s="5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19"/>
      <c r="AI249" s="20"/>
      <c r="AJ249" s="20"/>
      <c r="AK249" s="20"/>
      <c r="AL249" s="20"/>
      <c r="AM249" s="24"/>
      <c r="AN249" s="59"/>
      <c r="AO249" s="12"/>
      <c r="AP249" s="60"/>
    </row>
    <row r="250" spans="1:42" ht="15.6" x14ac:dyDescent="0.3">
      <c r="A250" s="23"/>
      <c r="B250" s="20"/>
      <c r="C250" s="20"/>
      <c r="D250" s="20"/>
      <c r="E250" s="20"/>
      <c r="F250" s="66"/>
      <c r="G250" s="20"/>
      <c r="H250" s="20"/>
      <c r="I250" s="20"/>
      <c r="J250" s="50"/>
      <c r="K250" s="5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19"/>
      <c r="AI250" s="20"/>
      <c r="AJ250" s="20"/>
      <c r="AK250" s="20"/>
      <c r="AL250" s="20"/>
      <c r="AM250" s="24"/>
      <c r="AN250" s="59"/>
      <c r="AO250" s="12"/>
      <c r="AP250" s="60"/>
    </row>
    <row r="251" spans="1:42" ht="15.6" x14ac:dyDescent="0.3">
      <c r="A251" s="23"/>
      <c r="B251" s="20"/>
      <c r="C251" s="20"/>
      <c r="D251" s="20"/>
      <c r="E251" s="20"/>
      <c r="F251" s="66"/>
      <c r="G251" s="20"/>
      <c r="H251" s="20"/>
      <c r="I251" s="20"/>
      <c r="J251" s="50"/>
      <c r="K251" s="5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19"/>
      <c r="AI251" s="20"/>
      <c r="AJ251" s="20"/>
      <c r="AK251" s="20"/>
      <c r="AL251" s="20"/>
      <c r="AM251" s="24"/>
      <c r="AN251" s="59"/>
      <c r="AO251" s="12"/>
      <c r="AP251" s="60"/>
    </row>
    <row r="252" spans="1:42" ht="15.6" x14ac:dyDescent="0.3">
      <c r="A252" s="23"/>
      <c r="B252" s="20"/>
      <c r="C252" s="20"/>
      <c r="D252" s="20"/>
      <c r="E252" s="20"/>
      <c r="F252" s="66"/>
      <c r="G252" s="20"/>
      <c r="H252" s="20"/>
      <c r="I252" s="20"/>
      <c r="J252" s="50"/>
      <c r="K252" s="5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19"/>
      <c r="AI252" s="20"/>
      <c r="AJ252" s="20"/>
      <c r="AK252" s="20"/>
      <c r="AL252" s="20"/>
      <c r="AM252" s="24"/>
      <c r="AN252" s="59"/>
      <c r="AO252" s="12"/>
      <c r="AP252" s="60"/>
    </row>
    <row r="253" spans="1:42" ht="15.6" x14ac:dyDescent="0.3">
      <c r="A253" s="23"/>
      <c r="B253" s="20"/>
      <c r="C253" s="20"/>
      <c r="D253" s="20"/>
      <c r="E253" s="20"/>
      <c r="F253" s="66"/>
      <c r="G253" s="20"/>
      <c r="H253" s="20"/>
      <c r="I253" s="20"/>
      <c r="J253" s="50"/>
      <c r="K253" s="5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19"/>
      <c r="AI253" s="20"/>
      <c r="AJ253" s="20"/>
      <c r="AK253" s="20"/>
      <c r="AL253" s="20"/>
      <c r="AM253" s="24"/>
      <c r="AN253" s="59"/>
      <c r="AO253" s="12"/>
      <c r="AP253" s="60"/>
    </row>
    <row r="254" spans="1:42" ht="15.6" x14ac:dyDescent="0.3">
      <c r="A254" s="23"/>
      <c r="B254" s="20"/>
      <c r="C254" s="20"/>
      <c r="D254" s="20"/>
      <c r="E254" s="20"/>
      <c r="F254" s="66"/>
      <c r="G254" s="20"/>
      <c r="H254" s="20"/>
      <c r="I254" s="20"/>
      <c r="J254" s="50"/>
      <c r="K254" s="5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19"/>
      <c r="AI254" s="20"/>
      <c r="AJ254" s="20"/>
      <c r="AK254" s="20"/>
      <c r="AL254" s="20"/>
      <c r="AM254" s="24"/>
      <c r="AN254" s="59"/>
      <c r="AO254" s="12"/>
      <c r="AP254" s="60"/>
    </row>
    <row r="255" spans="1:42" ht="15.6" x14ac:dyDescent="0.3">
      <c r="A255" s="23"/>
      <c r="B255" s="20"/>
      <c r="C255" s="20"/>
      <c r="D255" s="20"/>
      <c r="E255" s="20"/>
      <c r="F255" s="66"/>
      <c r="G255" s="20"/>
      <c r="H255" s="20"/>
      <c r="I255" s="20"/>
      <c r="J255" s="50"/>
      <c r="K255" s="5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19"/>
      <c r="AI255" s="20"/>
      <c r="AJ255" s="20"/>
      <c r="AK255" s="20"/>
      <c r="AL255" s="20"/>
      <c r="AM255" s="24"/>
      <c r="AN255" s="59"/>
      <c r="AO255" s="12"/>
      <c r="AP255" s="60"/>
    </row>
    <row r="256" spans="1:42" ht="15.6" x14ac:dyDescent="0.3">
      <c r="A256" s="23"/>
      <c r="B256" s="20"/>
      <c r="C256" s="20"/>
      <c r="D256" s="20"/>
      <c r="E256" s="20"/>
      <c r="F256" s="66"/>
      <c r="G256" s="20"/>
      <c r="H256" s="20"/>
      <c r="I256" s="20"/>
      <c r="J256" s="50"/>
      <c r="K256" s="5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19"/>
      <c r="AI256" s="20"/>
      <c r="AJ256" s="20"/>
      <c r="AK256" s="20"/>
      <c r="AL256" s="20"/>
      <c r="AM256" s="24"/>
      <c r="AN256" s="59"/>
      <c r="AO256" s="12"/>
      <c r="AP256" s="60"/>
    </row>
    <row r="257" spans="1:42" ht="15.6" x14ac:dyDescent="0.3">
      <c r="A257" s="23"/>
      <c r="B257" s="20"/>
      <c r="C257" s="20"/>
      <c r="D257" s="20"/>
      <c r="E257" s="20"/>
      <c r="F257" s="66"/>
      <c r="G257" s="20"/>
      <c r="H257" s="20"/>
      <c r="I257" s="20"/>
      <c r="J257" s="50"/>
      <c r="K257" s="5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19"/>
      <c r="AI257" s="20"/>
      <c r="AJ257" s="20"/>
      <c r="AK257" s="20"/>
      <c r="AL257" s="20"/>
      <c r="AM257" s="24"/>
      <c r="AN257" s="59"/>
      <c r="AO257" s="12"/>
      <c r="AP257" s="60"/>
    </row>
    <row r="258" spans="1:42" ht="15.6" x14ac:dyDescent="0.3">
      <c r="A258" s="23"/>
      <c r="B258" s="20"/>
      <c r="C258" s="20"/>
      <c r="D258" s="20"/>
      <c r="E258" s="20"/>
      <c r="F258" s="66"/>
      <c r="G258" s="20"/>
      <c r="H258" s="20"/>
      <c r="I258" s="20"/>
      <c r="J258" s="50"/>
      <c r="K258" s="5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19"/>
      <c r="AI258" s="20"/>
      <c r="AJ258" s="20"/>
      <c r="AK258" s="20"/>
      <c r="AL258" s="20"/>
      <c r="AM258" s="24"/>
      <c r="AN258" s="59"/>
      <c r="AO258" s="12"/>
      <c r="AP258" s="60"/>
    </row>
    <row r="259" spans="1:42" ht="15.6" x14ac:dyDescent="0.3">
      <c r="A259" s="23"/>
      <c r="B259" s="20"/>
      <c r="C259" s="20"/>
      <c r="D259" s="20"/>
      <c r="E259" s="20"/>
      <c r="F259" s="66"/>
      <c r="G259" s="20"/>
      <c r="H259" s="20"/>
      <c r="I259" s="20"/>
      <c r="J259" s="50"/>
      <c r="K259" s="5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19"/>
      <c r="AI259" s="20"/>
      <c r="AJ259" s="20"/>
      <c r="AK259" s="20"/>
      <c r="AL259" s="20"/>
      <c r="AM259" s="24"/>
      <c r="AN259" s="59"/>
      <c r="AO259" s="12"/>
      <c r="AP259" s="60"/>
    </row>
    <row r="260" spans="1:42" ht="15.6" x14ac:dyDescent="0.3">
      <c r="A260" s="23"/>
      <c r="B260" s="20"/>
      <c r="C260" s="20"/>
      <c r="D260" s="20"/>
      <c r="E260" s="20"/>
      <c r="F260" s="66"/>
      <c r="G260" s="20"/>
      <c r="H260" s="20"/>
      <c r="I260" s="20"/>
      <c r="J260" s="50"/>
      <c r="K260" s="5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19"/>
      <c r="AI260" s="20"/>
      <c r="AJ260" s="20"/>
      <c r="AK260" s="20"/>
      <c r="AL260" s="20"/>
      <c r="AM260" s="24"/>
      <c r="AN260" s="59"/>
      <c r="AO260" s="12"/>
      <c r="AP260" s="60"/>
    </row>
    <row r="261" spans="1:42" ht="15.6" x14ac:dyDescent="0.3">
      <c r="A261" s="23"/>
      <c r="B261" s="20"/>
      <c r="C261" s="20"/>
      <c r="D261" s="20"/>
      <c r="E261" s="20"/>
      <c r="F261" s="66"/>
      <c r="G261" s="20"/>
      <c r="H261" s="20"/>
      <c r="I261" s="20"/>
      <c r="J261" s="50"/>
      <c r="K261" s="5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19"/>
      <c r="AI261" s="20"/>
      <c r="AJ261" s="20"/>
      <c r="AK261" s="20"/>
      <c r="AL261" s="20"/>
      <c r="AM261" s="24"/>
      <c r="AN261" s="59"/>
      <c r="AO261" s="12"/>
      <c r="AP261" s="60"/>
    </row>
    <row r="262" spans="1:42" ht="15.6" x14ac:dyDescent="0.3">
      <c r="A262" s="23"/>
      <c r="B262" s="20"/>
      <c r="C262" s="20"/>
      <c r="D262" s="20"/>
      <c r="E262" s="20"/>
      <c r="F262" s="66"/>
      <c r="G262" s="20"/>
      <c r="H262" s="20"/>
      <c r="I262" s="20"/>
      <c r="J262" s="50"/>
      <c r="K262" s="5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19"/>
      <c r="AI262" s="20"/>
      <c r="AJ262" s="20"/>
      <c r="AK262" s="20"/>
      <c r="AL262" s="20"/>
      <c r="AM262" s="24"/>
      <c r="AN262" s="59"/>
      <c r="AO262" s="12"/>
      <c r="AP262" s="60"/>
    </row>
    <row r="263" spans="1:42" ht="15.6" x14ac:dyDescent="0.3">
      <c r="A263" s="23"/>
      <c r="B263" s="20"/>
      <c r="C263" s="20"/>
      <c r="D263" s="20"/>
      <c r="E263" s="20"/>
      <c r="F263" s="66"/>
      <c r="G263" s="20"/>
      <c r="H263" s="20"/>
      <c r="I263" s="20"/>
      <c r="J263" s="50"/>
      <c r="K263" s="5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19"/>
      <c r="AI263" s="20"/>
      <c r="AJ263" s="20"/>
      <c r="AK263" s="20"/>
      <c r="AL263" s="20"/>
      <c r="AM263" s="24"/>
      <c r="AN263" s="59"/>
      <c r="AO263" s="12"/>
      <c r="AP263" s="60"/>
    </row>
    <row r="264" spans="1:42" ht="15.6" x14ac:dyDescent="0.3">
      <c r="A264" s="23"/>
      <c r="B264" s="20"/>
      <c r="C264" s="20"/>
      <c r="D264" s="20"/>
      <c r="E264" s="20"/>
      <c r="F264" s="66"/>
      <c r="G264" s="20"/>
      <c r="H264" s="20"/>
      <c r="I264" s="20"/>
      <c r="J264" s="50"/>
      <c r="K264" s="5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19"/>
      <c r="AI264" s="20"/>
      <c r="AJ264" s="20"/>
      <c r="AK264" s="20"/>
      <c r="AL264" s="20"/>
      <c r="AM264" s="24"/>
      <c r="AN264" s="59"/>
      <c r="AO264" s="12"/>
      <c r="AP264" s="60"/>
    </row>
    <row r="265" spans="1:42" ht="15.6" x14ac:dyDescent="0.3">
      <c r="A265" s="23"/>
      <c r="B265" s="20"/>
      <c r="C265" s="20"/>
      <c r="D265" s="20"/>
      <c r="E265" s="20"/>
      <c r="F265" s="66"/>
      <c r="G265" s="20"/>
      <c r="H265" s="20"/>
      <c r="I265" s="20"/>
      <c r="J265" s="50"/>
      <c r="K265" s="5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19"/>
      <c r="AI265" s="20"/>
      <c r="AJ265" s="20"/>
      <c r="AK265" s="20"/>
      <c r="AL265" s="20"/>
      <c r="AM265" s="24"/>
      <c r="AN265" s="59"/>
      <c r="AO265" s="12"/>
      <c r="AP265" s="60"/>
    </row>
    <row r="266" spans="1:42" ht="15.6" x14ac:dyDescent="0.3">
      <c r="A266" s="23"/>
      <c r="B266" s="20"/>
      <c r="C266" s="20"/>
      <c r="D266" s="20"/>
      <c r="E266" s="20"/>
      <c r="F266" s="66"/>
      <c r="G266" s="20"/>
      <c r="H266" s="20"/>
      <c r="I266" s="20"/>
      <c r="J266" s="50"/>
      <c r="K266" s="5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19"/>
      <c r="AI266" s="20"/>
      <c r="AJ266" s="20"/>
      <c r="AK266" s="20"/>
      <c r="AL266" s="20"/>
      <c r="AM266" s="24"/>
      <c r="AN266" s="59"/>
      <c r="AO266" s="12"/>
      <c r="AP266" s="60"/>
    </row>
    <row r="267" spans="1:42" ht="15.6" x14ac:dyDescent="0.3">
      <c r="A267" s="23"/>
      <c r="B267" s="20"/>
      <c r="C267" s="20"/>
      <c r="D267" s="20"/>
      <c r="E267" s="20"/>
      <c r="F267" s="66"/>
      <c r="G267" s="20"/>
      <c r="H267" s="20"/>
      <c r="I267" s="20"/>
      <c r="J267" s="50"/>
      <c r="K267" s="5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19"/>
      <c r="AI267" s="20"/>
      <c r="AJ267" s="20"/>
      <c r="AK267" s="20"/>
      <c r="AL267" s="20"/>
      <c r="AM267" s="24"/>
      <c r="AN267" s="59"/>
      <c r="AO267" s="12"/>
      <c r="AP267" s="60"/>
    </row>
    <row r="268" spans="1:42" ht="15.6" x14ac:dyDescent="0.3">
      <c r="A268" s="23"/>
      <c r="B268" s="20"/>
      <c r="C268" s="20"/>
      <c r="D268" s="20"/>
      <c r="E268" s="20"/>
      <c r="F268" s="66"/>
      <c r="G268" s="20"/>
      <c r="H268" s="20"/>
      <c r="I268" s="20"/>
      <c r="J268" s="50"/>
      <c r="K268" s="5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19"/>
      <c r="AI268" s="20"/>
      <c r="AJ268" s="20"/>
      <c r="AK268" s="20"/>
      <c r="AL268" s="20"/>
      <c r="AM268" s="24"/>
      <c r="AN268" s="59"/>
      <c r="AO268" s="12"/>
      <c r="AP268" s="60"/>
    </row>
    <row r="269" spans="1:42" ht="15.6" x14ac:dyDescent="0.3">
      <c r="A269" s="23"/>
      <c r="B269" s="20"/>
      <c r="C269" s="20"/>
      <c r="D269" s="20"/>
      <c r="E269" s="20"/>
      <c r="F269" s="66"/>
      <c r="G269" s="20"/>
      <c r="H269" s="20"/>
      <c r="I269" s="20"/>
      <c r="J269" s="50"/>
      <c r="K269" s="5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19"/>
      <c r="AI269" s="20"/>
      <c r="AJ269" s="20"/>
      <c r="AK269" s="20"/>
      <c r="AL269" s="20"/>
      <c r="AM269" s="24"/>
      <c r="AN269" s="59"/>
      <c r="AO269" s="12"/>
      <c r="AP269" s="60"/>
    </row>
    <row r="270" spans="1:42" ht="15.6" x14ac:dyDescent="0.3">
      <c r="A270" s="23"/>
      <c r="B270" s="20"/>
      <c r="C270" s="20"/>
      <c r="D270" s="20"/>
      <c r="E270" s="20"/>
      <c r="F270" s="66"/>
      <c r="G270" s="20"/>
      <c r="H270" s="20"/>
      <c r="I270" s="20"/>
      <c r="J270" s="50"/>
      <c r="K270" s="5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19"/>
      <c r="AI270" s="20"/>
      <c r="AJ270" s="20"/>
      <c r="AK270" s="20"/>
      <c r="AL270" s="20"/>
      <c r="AM270" s="24"/>
      <c r="AN270" s="59"/>
      <c r="AO270" s="12"/>
      <c r="AP270" s="60"/>
    </row>
    <row r="271" spans="1:42" ht="15.6" x14ac:dyDescent="0.3">
      <c r="A271" s="23"/>
      <c r="B271" s="20"/>
      <c r="C271" s="20"/>
      <c r="D271" s="20"/>
      <c r="E271" s="20"/>
      <c r="F271" s="66"/>
      <c r="G271" s="20"/>
      <c r="H271" s="20"/>
      <c r="I271" s="20"/>
      <c r="J271" s="50"/>
      <c r="K271" s="5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19"/>
      <c r="AI271" s="20"/>
      <c r="AJ271" s="20"/>
      <c r="AK271" s="20"/>
      <c r="AL271" s="20"/>
      <c r="AM271" s="24"/>
      <c r="AN271" s="59"/>
      <c r="AO271" s="12"/>
      <c r="AP271" s="60"/>
    </row>
    <row r="272" spans="1:42" ht="15.6" x14ac:dyDescent="0.3">
      <c r="A272" s="23"/>
      <c r="B272" s="20"/>
      <c r="C272" s="20"/>
      <c r="D272" s="20"/>
      <c r="E272" s="20"/>
      <c r="F272" s="66"/>
      <c r="G272" s="20"/>
      <c r="H272" s="20"/>
      <c r="I272" s="20"/>
      <c r="J272" s="50"/>
      <c r="K272" s="5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19"/>
      <c r="AI272" s="20"/>
      <c r="AJ272" s="20"/>
      <c r="AK272" s="20"/>
      <c r="AL272" s="20"/>
      <c r="AM272" s="24"/>
      <c r="AN272" s="59"/>
      <c r="AO272" s="12"/>
      <c r="AP272" s="60"/>
    </row>
    <row r="273" spans="1:42" ht="15.6" x14ac:dyDescent="0.3">
      <c r="A273" s="23"/>
      <c r="B273" s="20"/>
      <c r="C273" s="20"/>
      <c r="D273" s="20"/>
      <c r="E273" s="20"/>
      <c r="F273" s="66"/>
      <c r="G273" s="20"/>
      <c r="H273" s="20"/>
      <c r="I273" s="20"/>
      <c r="J273" s="50"/>
      <c r="K273" s="5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19"/>
      <c r="AI273" s="20"/>
      <c r="AJ273" s="20"/>
      <c r="AK273" s="20"/>
      <c r="AL273" s="20"/>
      <c r="AM273" s="24"/>
      <c r="AN273" s="59"/>
      <c r="AO273" s="12"/>
      <c r="AP273" s="60"/>
    </row>
    <row r="274" spans="1:42" ht="15.6" x14ac:dyDescent="0.3">
      <c r="A274" s="23"/>
      <c r="B274" s="20"/>
      <c r="C274" s="20"/>
      <c r="D274" s="20"/>
      <c r="E274" s="20"/>
      <c r="F274" s="66"/>
      <c r="G274" s="20"/>
      <c r="H274" s="20"/>
      <c r="I274" s="20"/>
      <c r="J274" s="50"/>
      <c r="K274" s="5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19"/>
      <c r="AI274" s="20"/>
      <c r="AJ274" s="20"/>
      <c r="AK274" s="20"/>
      <c r="AL274" s="20"/>
      <c r="AM274" s="24"/>
      <c r="AN274" s="59"/>
      <c r="AO274" s="12"/>
      <c r="AP274" s="60"/>
    </row>
    <row r="275" spans="1:42" ht="15.6" x14ac:dyDescent="0.3">
      <c r="A275" s="23"/>
      <c r="B275" s="20"/>
      <c r="C275" s="20"/>
      <c r="D275" s="20"/>
      <c r="E275" s="20"/>
      <c r="F275" s="66"/>
      <c r="G275" s="20"/>
      <c r="H275" s="20"/>
      <c r="I275" s="20"/>
      <c r="J275" s="50"/>
      <c r="K275" s="5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19"/>
      <c r="AI275" s="20"/>
      <c r="AJ275" s="20"/>
      <c r="AK275" s="20"/>
      <c r="AL275" s="20"/>
      <c r="AM275" s="24"/>
      <c r="AN275" s="59"/>
      <c r="AO275" s="12"/>
      <c r="AP275" s="60"/>
    </row>
    <row r="276" spans="1:42" ht="15.6" x14ac:dyDescent="0.3">
      <c r="A276" s="23"/>
      <c r="B276" s="20"/>
      <c r="C276" s="20"/>
      <c r="D276" s="20"/>
      <c r="E276" s="20"/>
      <c r="F276" s="66"/>
      <c r="G276" s="20"/>
      <c r="H276" s="20"/>
      <c r="I276" s="20"/>
      <c r="J276" s="50"/>
      <c r="K276" s="5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19"/>
      <c r="AI276" s="20"/>
      <c r="AJ276" s="20"/>
      <c r="AK276" s="20"/>
      <c r="AL276" s="20"/>
      <c r="AM276" s="24"/>
      <c r="AN276" s="59"/>
      <c r="AO276" s="12"/>
      <c r="AP276" s="60"/>
    </row>
    <row r="277" spans="1:42" ht="15.6" x14ac:dyDescent="0.3">
      <c r="A277" s="23"/>
      <c r="B277" s="20"/>
      <c r="C277" s="20"/>
      <c r="D277" s="20"/>
      <c r="E277" s="20"/>
      <c r="F277" s="66"/>
      <c r="G277" s="20"/>
      <c r="H277" s="20"/>
      <c r="I277" s="20"/>
      <c r="J277" s="50"/>
      <c r="K277" s="5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19"/>
      <c r="AI277" s="20"/>
      <c r="AJ277" s="20"/>
      <c r="AK277" s="20"/>
      <c r="AL277" s="20"/>
      <c r="AM277" s="24"/>
      <c r="AN277" s="59"/>
      <c r="AO277" s="12"/>
      <c r="AP277" s="60"/>
    </row>
    <row r="278" spans="1:42" ht="15.6" x14ac:dyDescent="0.3">
      <c r="A278" s="23"/>
      <c r="B278" s="20"/>
      <c r="C278" s="20"/>
      <c r="D278" s="20"/>
      <c r="E278" s="20"/>
      <c r="F278" s="66"/>
      <c r="G278" s="20"/>
      <c r="H278" s="20"/>
      <c r="I278" s="20"/>
      <c r="J278" s="50"/>
      <c r="K278" s="5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19"/>
      <c r="AI278" s="20"/>
      <c r="AJ278" s="20"/>
      <c r="AK278" s="20"/>
      <c r="AL278" s="20"/>
      <c r="AM278" s="24"/>
      <c r="AN278" s="59"/>
      <c r="AO278" s="12"/>
      <c r="AP278" s="60"/>
    </row>
    <row r="279" spans="1:42" ht="15.6" x14ac:dyDescent="0.3">
      <c r="A279" s="23"/>
      <c r="B279" s="20"/>
      <c r="C279" s="20"/>
      <c r="D279" s="20"/>
      <c r="E279" s="20"/>
      <c r="F279" s="66"/>
      <c r="G279" s="20"/>
      <c r="H279" s="20"/>
      <c r="I279" s="20"/>
      <c r="J279" s="50"/>
      <c r="K279" s="5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19"/>
      <c r="AI279" s="20"/>
      <c r="AJ279" s="20"/>
      <c r="AK279" s="20"/>
      <c r="AL279" s="20"/>
      <c r="AM279" s="24"/>
      <c r="AN279" s="59"/>
      <c r="AO279" s="12"/>
      <c r="AP279" s="60"/>
    </row>
    <row r="280" spans="1:42" ht="15.6" x14ac:dyDescent="0.3">
      <c r="A280" s="23"/>
      <c r="B280" s="20"/>
      <c r="C280" s="20"/>
      <c r="D280" s="20"/>
      <c r="E280" s="20"/>
      <c r="F280" s="66"/>
      <c r="G280" s="20"/>
      <c r="H280" s="20"/>
      <c r="I280" s="20"/>
      <c r="J280" s="50"/>
      <c r="K280" s="5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19"/>
      <c r="AI280" s="20"/>
      <c r="AJ280" s="20"/>
      <c r="AK280" s="20"/>
      <c r="AL280" s="20"/>
      <c r="AM280" s="24"/>
      <c r="AN280" s="59"/>
      <c r="AO280" s="12"/>
      <c r="AP280" s="60"/>
    </row>
    <row r="281" spans="1:42" ht="15.6" x14ac:dyDescent="0.3">
      <c r="A281" s="23"/>
      <c r="B281" s="20"/>
      <c r="C281" s="20"/>
      <c r="D281" s="20"/>
      <c r="E281" s="20"/>
      <c r="F281" s="66"/>
      <c r="G281" s="20"/>
      <c r="H281" s="20"/>
      <c r="I281" s="20"/>
      <c r="J281" s="50"/>
      <c r="K281" s="5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19"/>
      <c r="AI281" s="20"/>
      <c r="AJ281" s="20"/>
      <c r="AK281" s="20"/>
      <c r="AL281" s="20"/>
      <c r="AM281" s="24"/>
      <c r="AN281" s="59"/>
      <c r="AO281" s="12"/>
      <c r="AP281" s="60"/>
    </row>
    <row r="282" spans="1:42" ht="15.6" x14ac:dyDescent="0.3">
      <c r="A282" s="23"/>
      <c r="B282" s="20"/>
      <c r="C282" s="20"/>
      <c r="D282" s="20"/>
      <c r="E282" s="20"/>
      <c r="F282" s="66"/>
      <c r="G282" s="20"/>
      <c r="H282" s="20"/>
      <c r="I282" s="20"/>
      <c r="J282" s="50"/>
      <c r="K282" s="5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19"/>
      <c r="AI282" s="20"/>
      <c r="AJ282" s="20"/>
      <c r="AK282" s="20"/>
      <c r="AL282" s="20"/>
      <c r="AM282" s="24"/>
      <c r="AN282" s="59"/>
      <c r="AO282" s="12"/>
      <c r="AP282" s="60"/>
    </row>
    <row r="283" spans="1:42" ht="15.6" x14ac:dyDescent="0.3">
      <c r="A283" s="23"/>
      <c r="B283" s="20"/>
      <c r="C283" s="20"/>
      <c r="D283" s="20"/>
      <c r="E283" s="20"/>
      <c r="F283" s="66"/>
      <c r="G283" s="20"/>
      <c r="H283" s="20"/>
      <c r="I283" s="20"/>
      <c r="J283" s="50"/>
      <c r="K283" s="5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19"/>
      <c r="AI283" s="20"/>
      <c r="AJ283" s="20"/>
      <c r="AK283" s="20"/>
      <c r="AL283" s="20"/>
      <c r="AM283" s="24"/>
      <c r="AN283" s="59"/>
      <c r="AO283" s="12"/>
      <c r="AP283" s="60"/>
    </row>
    <row r="284" spans="1:42" ht="15.6" x14ac:dyDescent="0.3">
      <c r="A284" s="23"/>
      <c r="B284" s="20"/>
      <c r="C284" s="20"/>
      <c r="D284" s="20"/>
      <c r="E284" s="20"/>
      <c r="F284" s="66"/>
      <c r="G284" s="20"/>
      <c r="H284" s="20"/>
      <c r="I284" s="20"/>
      <c r="J284" s="50"/>
      <c r="K284" s="5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19"/>
      <c r="AI284" s="20"/>
      <c r="AJ284" s="20"/>
      <c r="AK284" s="20"/>
      <c r="AL284" s="20"/>
      <c r="AM284" s="24"/>
      <c r="AN284" s="59"/>
      <c r="AO284" s="12"/>
      <c r="AP284" s="60"/>
    </row>
    <row r="285" spans="1:42" ht="15.6" x14ac:dyDescent="0.3">
      <c r="A285" s="23"/>
      <c r="B285" s="20"/>
      <c r="C285" s="20"/>
      <c r="D285" s="20"/>
      <c r="E285" s="20"/>
      <c r="F285" s="66"/>
      <c r="G285" s="20"/>
      <c r="H285" s="20"/>
      <c r="I285" s="20"/>
      <c r="J285" s="50"/>
      <c r="K285" s="5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19"/>
      <c r="AI285" s="20"/>
      <c r="AJ285" s="20"/>
      <c r="AK285" s="20"/>
      <c r="AL285" s="20"/>
      <c r="AM285" s="24"/>
      <c r="AN285" s="59"/>
      <c r="AO285" s="12"/>
      <c r="AP285" s="60"/>
    </row>
    <row r="286" spans="1:42" ht="15.6" x14ac:dyDescent="0.3">
      <c r="A286" s="23"/>
      <c r="B286" s="20"/>
      <c r="C286" s="20"/>
      <c r="D286" s="20"/>
      <c r="E286" s="20"/>
      <c r="F286" s="66"/>
      <c r="G286" s="20"/>
      <c r="H286" s="20"/>
      <c r="I286" s="20"/>
      <c r="J286" s="50"/>
      <c r="K286" s="5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19"/>
      <c r="AI286" s="20"/>
      <c r="AJ286" s="20"/>
      <c r="AK286" s="20"/>
      <c r="AL286" s="20"/>
      <c r="AM286" s="24"/>
      <c r="AN286" s="59"/>
      <c r="AO286" s="12"/>
      <c r="AP286" s="60"/>
    </row>
    <row r="287" spans="1:42" ht="15.6" x14ac:dyDescent="0.3">
      <c r="A287" s="23"/>
      <c r="B287" s="20"/>
      <c r="C287" s="20"/>
      <c r="D287" s="20"/>
      <c r="E287" s="20"/>
      <c r="F287" s="66"/>
      <c r="G287" s="20"/>
      <c r="H287" s="20"/>
      <c r="I287" s="20"/>
      <c r="J287" s="50"/>
      <c r="K287" s="5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19"/>
      <c r="AI287" s="20"/>
      <c r="AJ287" s="20"/>
      <c r="AK287" s="20"/>
      <c r="AL287" s="20"/>
      <c r="AM287" s="24"/>
      <c r="AN287" s="59"/>
      <c r="AO287" s="12"/>
      <c r="AP287" s="60"/>
    </row>
    <row r="288" spans="1:42" ht="15.6" x14ac:dyDescent="0.3">
      <c r="A288" s="23"/>
      <c r="B288" s="20"/>
      <c r="C288" s="20"/>
      <c r="D288" s="20"/>
      <c r="E288" s="20"/>
      <c r="F288" s="66"/>
      <c r="G288" s="20"/>
      <c r="H288" s="20"/>
      <c r="I288" s="20"/>
      <c r="J288" s="50"/>
      <c r="K288" s="5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19"/>
      <c r="AI288" s="20"/>
      <c r="AJ288" s="20"/>
      <c r="AK288" s="20"/>
      <c r="AL288" s="20"/>
      <c r="AM288" s="24"/>
      <c r="AN288" s="59"/>
      <c r="AO288" s="12"/>
      <c r="AP288" s="60"/>
    </row>
    <row r="289" spans="1:42" ht="15.6" x14ac:dyDescent="0.3">
      <c r="A289" s="23"/>
      <c r="B289" s="20"/>
      <c r="C289" s="20"/>
      <c r="D289" s="20"/>
      <c r="E289" s="20"/>
      <c r="F289" s="66"/>
      <c r="G289" s="20"/>
      <c r="H289" s="20"/>
      <c r="I289" s="20"/>
      <c r="J289" s="50"/>
      <c r="K289" s="5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19"/>
      <c r="AI289" s="20"/>
      <c r="AJ289" s="20"/>
      <c r="AK289" s="20"/>
      <c r="AL289" s="20"/>
      <c r="AM289" s="24"/>
      <c r="AN289" s="59"/>
      <c r="AO289" s="12"/>
      <c r="AP289" s="60"/>
    </row>
    <row r="290" spans="1:42" ht="15.6" x14ac:dyDescent="0.3">
      <c r="A290" s="23"/>
      <c r="B290" s="20"/>
      <c r="C290" s="20"/>
      <c r="D290" s="20"/>
      <c r="E290" s="20"/>
      <c r="F290" s="66"/>
      <c r="G290" s="20"/>
      <c r="H290" s="20"/>
      <c r="I290" s="20"/>
      <c r="J290" s="50"/>
      <c r="K290" s="5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19"/>
      <c r="AI290" s="20"/>
      <c r="AJ290" s="20"/>
      <c r="AK290" s="20"/>
      <c r="AL290" s="20"/>
      <c r="AM290" s="24"/>
      <c r="AN290" s="59"/>
      <c r="AO290" s="12"/>
      <c r="AP290" s="60"/>
    </row>
    <row r="291" spans="1:42" ht="15.6" x14ac:dyDescent="0.3">
      <c r="A291" s="23"/>
      <c r="B291" s="20"/>
      <c r="C291" s="20"/>
      <c r="D291" s="20"/>
      <c r="E291" s="20"/>
      <c r="F291" s="66"/>
      <c r="G291" s="20"/>
      <c r="H291" s="20"/>
      <c r="I291" s="20"/>
      <c r="J291" s="50"/>
      <c r="K291" s="5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19"/>
      <c r="AI291" s="20"/>
      <c r="AJ291" s="20"/>
      <c r="AK291" s="20"/>
      <c r="AL291" s="20"/>
      <c r="AM291" s="24"/>
      <c r="AN291" s="59"/>
      <c r="AO291" s="12"/>
      <c r="AP291" s="60"/>
    </row>
    <row r="292" spans="1:42" ht="15.6" x14ac:dyDescent="0.3">
      <c r="A292" s="23"/>
      <c r="B292" s="20"/>
      <c r="C292" s="20"/>
      <c r="D292" s="20"/>
      <c r="E292" s="20"/>
      <c r="F292" s="66"/>
      <c r="G292" s="20"/>
      <c r="H292" s="20"/>
      <c r="I292" s="20"/>
      <c r="J292" s="50"/>
      <c r="K292" s="5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19"/>
      <c r="AI292" s="20"/>
      <c r="AJ292" s="20"/>
      <c r="AK292" s="20"/>
      <c r="AL292" s="20"/>
      <c r="AM292" s="24"/>
      <c r="AN292" s="59"/>
      <c r="AO292" s="12"/>
      <c r="AP292" s="60"/>
    </row>
    <row r="293" spans="1:42" ht="15.6" x14ac:dyDescent="0.3">
      <c r="A293" s="23"/>
      <c r="B293" s="20"/>
      <c r="C293" s="20"/>
      <c r="D293" s="20"/>
      <c r="E293" s="20"/>
      <c r="F293" s="66"/>
      <c r="G293" s="20"/>
      <c r="H293" s="20"/>
      <c r="I293" s="20"/>
      <c r="J293" s="50"/>
      <c r="K293" s="5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19"/>
      <c r="AI293" s="20"/>
      <c r="AJ293" s="20"/>
      <c r="AK293" s="20"/>
      <c r="AL293" s="20"/>
      <c r="AM293" s="24"/>
      <c r="AN293" s="59"/>
      <c r="AO293" s="12"/>
      <c r="AP293" s="60"/>
    </row>
    <row r="294" spans="1:42" ht="15.6" x14ac:dyDescent="0.3">
      <c r="A294" s="23"/>
      <c r="B294" s="20"/>
      <c r="C294" s="20"/>
      <c r="D294" s="20"/>
      <c r="E294" s="20"/>
      <c r="F294" s="66"/>
      <c r="G294" s="20"/>
      <c r="H294" s="20"/>
      <c r="I294" s="20"/>
      <c r="J294" s="50"/>
      <c r="K294" s="5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19"/>
      <c r="AI294" s="20"/>
      <c r="AJ294" s="20"/>
      <c r="AK294" s="20"/>
      <c r="AL294" s="20"/>
      <c r="AM294" s="24"/>
      <c r="AN294" s="59"/>
      <c r="AO294" s="12"/>
      <c r="AP294" s="60"/>
    </row>
    <row r="295" spans="1:42" ht="15.6" x14ac:dyDescent="0.3">
      <c r="A295" s="23"/>
      <c r="B295" s="20"/>
      <c r="C295" s="20"/>
      <c r="D295" s="20"/>
      <c r="E295" s="20"/>
      <c r="F295" s="66"/>
      <c r="G295" s="20"/>
      <c r="H295" s="20"/>
      <c r="I295" s="20"/>
      <c r="J295" s="50"/>
      <c r="K295" s="5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19"/>
      <c r="AI295" s="20"/>
      <c r="AJ295" s="20"/>
      <c r="AK295" s="20"/>
      <c r="AL295" s="20"/>
      <c r="AM295" s="24"/>
      <c r="AN295" s="59"/>
      <c r="AO295" s="12"/>
      <c r="AP295" s="60"/>
    </row>
    <row r="296" spans="1:42" ht="15.6" x14ac:dyDescent="0.3">
      <c r="A296" s="23"/>
      <c r="B296" s="20"/>
      <c r="C296" s="20"/>
      <c r="D296" s="20"/>
      <c r="E296" s="20"/>
      <c r="F296" s="66"/>
      <c r="G296" s="20"/>
      <c r="H296" s="20"/>
      <c r="I296" s="20"/>
      <c r="J296" s="50"/>
      <c r="K296" s="5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19"/>
      <c r="AI296" s="20"/>
      <c r="AJ296" s="20"/>
      <c r="AK296" s="20"/>
      <c r="AL296" s="20"/>
      <c r="AM296" s="24"/>
      <c r="AN296" s="59"/>
      <c r="AO296" s="12"/>
      <c r="AP296" s="60"/>
    </row>
    <row r="297" spans="1:42" ht="15.6" x14ac:dyDescent="0.3">
      <c r="A297" s="23"/>
      <c r="B297" s="20"/>
      <c r="C297" s="20"/>
      <c r="D297" s="20"/>
      <c r="E297" s="20"/>
      <c r="F297" s="66"/>
      <c r="G297" s="20"/>
      <c r="H297" s="20"/>
      <c r="I297" s="20"/>
      <c r="J297" s="50"/>
      <c r="K297" s="5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19"/>
      <c r="AI297" s="20"/>
      <c r="AJ297" s="20"/>
      <c r="AK297" s="20"/>
      <c r="AL297" s="20"/>
      <c r="AM297" s="24"/>
      <c r="AN297" s="59"/>
      <c r="AO297" s="12"/>
      <c r="AP297" s="60"/>
    </row>
    <row r="298" spans="1:42" ht="15.6" x14ac:dyDescent="0.3">
      <c r="A298" s="23"/>
      <c r="B298" s="20"/>
      <c r="C298" s="20"/>
      <c r="D298" s="20"/>
      <c r="E298" s="20"/>
      <c r="F298" s="66"/>
      <c r="G298" s="20"/>
      <c r="H298" s="20"/>
      <c r="I298" s="20"/>
      <c r="J298" s="50"/>
      <c r="K298" s="5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19"/>
      <c r="AI298" s="20"/>
      <c r="AJ298" s="20"/>
      <c r="AK298" s="20"/>
      <c r="AL298" s="20"/>
      <c r="AM298" s="24"/>
      <c r="AN298" s="59"/>
      <c r="AO298" s="12"/>
      <c r="AP298" s="60"/>
    </row>
    <row r="299" spans="1:42" ht="15.6" x14ac:dyDescent="0.3">
      <c r="A299" s="23"/>
      <c r="B299" s="20"/>
      <c r="C299" s="20"/>
      <c r="D299" s="20"/>
      <c r="E299" s="20"/>
      <c r="F299" s="66"/>
      <c r="G299" s="20"/>
      <c r="H299" s="20"/>
      <c r="I299" s="20"/>
      <c r="J299" s="50"/>
      <c r="K299" s="5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19"/>
      <c r="AI299" s="20"/>
      <c r="AJ299" s="20"/>
      <c r="AK299" s="20"/>
      <c r="AL299" s="20"/>
      <c r="AM299" s="24"/>
      <c r="AN299" s="59"/>
      <c r="AO299" s="12"/>
      <c r="AP299" s="60"/>
    </row>
    <row r="300" spans="1:42" ht="15.6" x14ac:dyDescent="0.3">
      <c r="A300" s="23"/>
      <c r="B300" s="20"/>
      <c r="C300" s="20"/>
      <c r="D300" s="20"/>
      <c r="E300" s="20"/>
      <c r="F300" s="66"/>
      <c r="G300" s="20"/>
      <c r="H300" s="20"/>
      <c r="I300" s="20"/>
      <c r="J300" s="50"/>
      <c r="K300" s="5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19"/>
      <c r="AI300" s="20"/>
      <c r="AJ300" s="20"/>
      <c r="AK300" s="20"/>
      <c r="AL300" s="20"/>
      <c r="AM300" s="24"/>
      <c r="AN300" s="59"/>
      <c r="AO300" s="12"/>
      <c r="AP300" s="60"/>
    </row>
    <row r="301" spans="1:42" ht="15.6" x14ac:dyDescent="0.3">
      <c r="A301" s="23"/>
      <c r="B301" s="20"/>
      <c r="C301" s="20"/>
      <c r="D301" s="20"/>
      <c r="E301" s="20"/>
      <c r="F301" s="66"/>
      <c r="G301" s="20"/>
      <c r="H301" s="20"/>
      <c r="I301" s="20"/>
      <c r="J301" s="50"/>
      <c r="K301" s="5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19"/>
      <c r="AI301" s="20"/>
      <c r="AJ301" s="20"/>
      <c r="AK301" s="20"/>
      <c r="AL301" s="20"/>
      <c r="AM301" s="24"/>
      <c r="AN301" s="59"/>
      <c r="AO301" s="12"/>
      <c r="AP301" s="60"/>
    </row>
    <row r="302" spans="1:42" ht="15.6" x14ac:dyDescent="0.3">
      <c r="A302" s="23"/>
      <c r="B302" s="20"/>
      <c r="C302" s="20"/>
      <c r="D302" s="20"/>
      <c r="E302" s="20"/>
      <c r="F302" s="66"/>
      <c r="G302" s="20"/>
      <c r="H302" s="20"/>
      <c r="I302" s="20"/>
      <c r="J302" s="50"/>
      <c r="K302" s="5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19"/>
      <c r="AI302" s="20"/>
      <c r="AJ302" s="20"/>
      <c r="AK302" s="20"/>
      <c r="AL302" s="20"/>
      <c r="AM302" s="24"/>
      <c r="AN302" s="59"/>
      <c r="AO302" s="12"/>
      <c r="AP302" s="60"/>
    </row>
    <row r="303" spans="1:42" ht="15.6" x14ac:dyDescent="0.3">
      <c r="A303" s="23"/>
      <c r="B303" s="20"/>
      <c r="C303" s="20"/>
      <c r="D303" s="20"/>
      <c r="E303" s="20"/>
      <c r="F303" s="66"/>
      <c r="G303" s="20"/>
      <c r="H303" s="20"/>
      <c r="I303" s="20"/>
      <c r="J303" s="50"/>
      <c r="K303" s="5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19"/>
      <c r="AI303" s="20"/>
      <c r="AJ303" s="20"/>
      <c r="AK303" s="20"/>
      <c r="AL303" s="20"/>
      <c r="AM303" s="24"/>
      <c r="AN303" s="59"/>
      <c r="AO303" s="12"/>
      <c r="AP303" s="60"/>
    </row>
    <row r="304" spans="1:42" ht="15.6" x14ac:dyDescent="0.3">
      <c r="A304" s="23"/>
      <c r="B304" s="20"/>
      <c r="C304" s="20"/>
      <c r="D304" s="20"/>
      <c r="E304" s="20"/>
      <c r="F304" s="66"/>
      <c r="G304" s="20"/>
      <c r="H304" s="20"/>
      <c r="I304" s="20"/>
      <c r="J304" s="50"/>
      <c r="K304" s="5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19"/>
      <c r="AI304" s="20"/>
      <c r="AJ304" s="20"/>
      <c r="AK304" s="20"/>
      <c r="AL304" s="20"/>
      <c r="AM304" s="24"/>
      <c r="AN304" s="59"/>
      <c r="AO304" s="12"/>
      <c r="AP304" s="60"/>
    </row>
    <row r="305" spans="1:42" ht="15.6" x14ac:dyDescent="0.3">
      <c r="A305" s="23"/>
      <c r="B305" s="20"/>
      <c r="C305" s="20"/>
      <c r="D305" s="20"/>
      <c r="E305" s="20"/>
      <c r="F305" s="66"/>
      <c r="G305" s="20"/>
      <c r="H305" s="20"/>
      <c r="I305" s="20"/>
      <c r="J305" s="50"/>
      <c r="K305" s="5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19"/>
      <c r="AI305" s="20"/>
      <c r="AJ305" s="20"/>
      <c r="AK305" s="20"/>
      <c r="AL305" s="20"/>
      <c r="AM305" s="24"/>
      <c r="AN305" s="59"/>
      <c r="AO305" s="12"/>
      <c r="AP305" s="60"/>
    </row>
    <row r="306" spans="1:42" ht="15.6" x14ac:dyDescent="0.3">
      <c r="A306" s="23"/>
      <c r="B306" s="20"/>
      <c r="C306" s="20"/>
      <c r="D306" s="20"/>
      <c r="E306" s="20"/>
      <c r="F306" s="66"/>
      <c r="G306" s="20"/>
      <c r="H306" s="20"/>
      <c r="I306" s="20"/>
      <c r="J306" s="50"/>
      <c r="K306" s="5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19"/>
      <c r="AI306" s="20"/>
      <c r="AJ306" s="20"/>
      <c r="AK306" s="20"/>
      <c r="AL306" s="20"/>
      <c r="AM306" s="24"/>
      <c r="AN306" s="59"/>
      <c r="AO306" s="12"/>
      <c r="AP306" s="60"/>
    </row>
    <row r="307" spans="1:42" ht="15.6" x14ac:dyDescent="0.3">
      <c r="A307" s="23"/>
      <c r="B307" s="20"/>
      <c r="C307" s="20"/>
      <c r="D307" s="20"/>
      <c r="E307" s="20"/>
      <c r="F307" s="66"/>
      <c r="G307" s="20"/>
      <c r="H307" s="20"/>
      <c r="I307" s="20"/>
      <c r="J307" s="50"/>
      <c r="K307" s="5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19"/>
      <c r="AI307" s="20"/>
      <c r="AJ307" s="20"/>
      <c r="AK307" s="20"/>
      <c r="AL307" s="20"/>
      <c r="AM307" s="24"/>
      <c r="AN307" s="59"/>
      <c r="AO307" s="12"/>
      <c r="AP307" s="60"/>
    </row>
    <row r="308" spans="1:42" ht="15.6" x14ac:dyDescent="0.3">
      <c r="A308" s="23"/>
      <c r="B308" s="20"/>
      <c r="C308" s="20"/>
      <c r="D308" s="20"/>
      <c r="E308" s="20"/>
      <c r="F308" s="66"/>
      <c r="G308" s="20"/>
      <c r="H308" s="20"/>
      <c r="I308" s="20"/>
      <c r="J308" s="50"/>
      <c r="K308" s="5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19"/>
      <c r="AI308" s="20"/>
      <c r="AJ308" s="20"/>
      <c r="AK308" s="20"/>
      <c r="AL308" s="20"/>
      <c r="AM308" s="24"/>
      <c r="AN308" s="59"/>
      <c r="AO308" s="12"/>
      <c r="AP308" s="60"/>
    </row>
    <row r="309" spans="1:42" ht="15.6" x14ac:dyDescent="0.3">
      <c r="A309" s="23"/>
      <c r="B309" s="20"/>
      <c r="C309" s="20"/>
      <c r="D309" s="20"/>
      <c r="E309" s="20"/>
      <c r="F309" s="66"/>
      <c r="G309" s="20"/>
      <c r="H309" s="20"/>
      <c r="I309" s="20"/>
      <c r="J309" s="50"/>
      <c r="K309" s="5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19"/>
      <c r="AI309" s="20"/>
      <c r="AJ309" s="20"/>
      <c r="AK309" s="20"/>
      <c r="AL309" s="20"/>
      <c r="AM309" s="24"/>
      <c r="AN309" s="59"/>
      <c r="AO309" s="12"/>
      <c r="AP309" s="60"/>
    </row>
    <row r="310" spans="1:42" ht="15.6" x14ac:dyDescent="0.3">
      <c r="A310" s="23"/>
      <c r="B310" s="20"/>
      <c r="C310" s="20"/>
      <c r="D310" s="20"/>
      <c r="E310" s="20"/>
      <c r="F310" s="66"/>
      <c r="G310" s="20"/>
      <c r="H310" s="20"/>
      <c r="I310" s="20"/>
      <c r="J310" s="50"/>
      <c r="K310" s="5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19"/>
      <c r="AI310" s="20"/>
      <c r="AJ310" s="20"/>
      <c r="AK310" s="20"/>
      <c r="AL310" s="20"/>
      <c r="AM310" s="24"/>
      <c r="AN310" s="59"/>
      <c r="AO310" s="12"/>
      <c r="AP310" s="60"/>
    </row>
    <row r="311" spans="1:42" ht="15.6" x14ac:dyDescent="0.3">
      <c r="A311" s="23"/>
      <c r="B311" s="20"/>
      <c r="C311" s="20"/>
      <c r="D311" s="20"/>
      <c r="E311" s="20"/>
      <c r="F311" s="66"/>
      <c r="G311" s="20"/>
      <c r="H311" s="20"/>
      <c r="I311" s="20"/>
      <c r="J311" s="50"/>
      <c r="K311" s="5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19"/>
      <c r="AI311" s="20"/>
      <c r="AJ311" s="20"/>
      <c r="AK311" s="20"/>
      <c r="AL311" s="20"/>
      <c r="AM311" s="24"/>
      <c r="AN311" s="59"/>
      <c r="AO311" s="12"/>
      <c r="AP311" s="60"/>
    </row>
    <row r="312" spans="1:42" ht="15.6" x14ac:dyDescent="0.3">
      <c r="A312" s="23"/>
      <c r="B312" s="20"/>
      <c r="C312" s="20"/>
      <c r="D312" s="20"/>
      <c r="E312" s="20"/>
      <c r="F312" s="66"/>
      <c r="G312" s="20"/>
      <c r="H312" s="20"/>
      <c r="I312" s="20"/>
      <c r="J312" s="50"/>
      <c r="K312" s="5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19"/>
      <c r="AI312" s="20"/>
      <c r="AJ312" s="20"/>
      <c r="AK312" s="20"/>
      <c r="AL312" s="20"/>
      <c r="AM312" s="24"/>
      <c r="AN312" s="59"/>
      <c r="AO312" s="12"/>
      <c r="AP312" s="60"/>
    </row>
    <row r="313" spans="1:42" ht="15.6" x14ac:dyDescent="0.3">
      <c r="A313" s="23"/>
      <c r="B313" s="20"/>
      <c r="C313" s="20"/>
      <c r="D313" s="20"/>
      <c r="E313" s="20"/>
      <c r="F313" s="66"/>
      <c r="G313" s="20"/>
      <c r="H313" s="20"/>
      <c r="I313" s="20"/>
      <c r="J313" s="50"/>
      <c r="K313" s="5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19"/>
      <c r="AI313" s="20"/>
      <c r="AJ313" s="20"/>
      <c r="AK313" s="20"/>
      <c r="AL313" s="20"/>
      <c r="AM313" s="24"/>
      <c r="AN313" s="59"/>
      <c r="AO313" s="12"/>
      <c r="AP313" s="60"/>
    </row>
    <row r="314" spans="1:42" ht="15.6" x14ac:dyDescent="0.3">
      <c r="A314" s="23"/>
      <c r="B314" s="20"/>
      <c r="C314" s="20"/>
      <c r="D314" s="20"/>
      <c r="E314" s="20"/>
      <c r="F314" s="66"/>
      <c r="G314" s="20"/>
      <c r="H314" s="20"/>
      <c r="I314" s="20"/>
      <c r="J314" s="50"/>
      <c r="K314" s="5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19"/>
      <c r="AI314" s="20"/>
      <c r="AJ314" s="20"/>
      <c r="AK314" s="20"/>
      <c r="AL314" s="20"/>
      <c r="AM314" s="24"/>
      <c r="AN314" s="59"/>
      <c r="AO314" s="12"/>
      <c r="AP314" s="60"/>
    </row>
    <row r="315" spans="1:42" ht="15.6" x14ac:dyDescent="0.3">
      <c r="A315" s="23"/>
      <c r="B315" s="20"/>
      <c r="C315" s="20"/>
      <c r="D315" s="20"/>
      <c r="E315" s="20"/>
      <c r="F315" s="66"/>
      <c r="G315" s="20"/>
      <c r="H315" s="20"/>
      <c r="I315" s="20"/>
      <c r="J315" s="50"/>
      <c r="K315" s="5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19"/>
      <c r="AI315" s="20"/>
      <c r="AJ315" s="20"/>
      <c r="AK315" s="20"/>
      <c r="AL315" s="20"/>
      <c r="AM315" s="24"/>
      <c r="AN315" s="59"/>
      <c r="AO315" s="12"/>
      <c r="AP315" s="60"/>
    </row>
    <row r="316" spans="1:42" ht="15.6" x14ac:dyDescent="0.3">
      <c r="A316" s="23"/>
      <c r="B316" s="20"/>
      <c r="C316" s="20"/>
      <c r="D316" s="20"/>
      <c r="E316" s="20"/>
      <c r="F316" s="66"/>
      <c r="G316" s="20"/>
      <c r="H316" s="20"/>
      <c r="I316" s="20"/>
      <c r="J316" s="50"/>
      <c r="K316" s="5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19"/>
      <c r="AI316" s="20"/>
      <c r="AJ316" s="20"/>
      <c r="AK316" s="20"/>
      <c r="AL316" s="20"/>
      <c r="AM316" s="24"/>
      <c r="AN316" s="59"/>
      <c r="AO316" s="12"/>
      <c r="AP316" s="60"/>
    </row>
    <row r="317" spans="1:42" ht="15.6" x14ac:dyDescent="0.3">
      <c r="A317" s="23"/>
      <c r="B317" s="20"/>
      <c r="C317" s="20"/>
      <c r="D317" s="20"/>
      <c r="E317" s="20"/>
      <c r="F317" s="66"/>
      <c r="G317" s="20"/>
      <c r="H317" s="20"/>
      <c r="I317" s="20"/>
      <c r="J317" s="50"/>
      <c r="K317" s="5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19"/>
      <c r="AI317" s="20"/>
      <c r="AJ317" s="20"/>
      <c r="AK317" s="20"/>
      <c r="AL317" s="20"/>
      <c r="AM317" s="24"/>
      <c r="AN317" s="59"/>
      <c r="AO317" s="12"/>
      <c r="AP317" s="60"/>
    </row>
    <row r="318" spans="1:42" ht="15.6" x14ac:dyDescent="0.3">
      <c r="A318" s="23"/>
      <c r="B318" s="20"/>
      <c r="C318" s="20"/>
      <c r="D318" s="20"/>
      <c r="E318" s="20"/>
      <c r="F318" s="66"/>
      <c r="G318" s="20"/>
      <c r="H318" s="20"/>
      <c r="I318" s="20"/>
      <c r="J318" s="50"/>
      <c r="K318" s="5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19"/>
      <c r="AI318" s="20"/>
      <c r="AJ318" s="20"/>
      <c r="AK318" s="20"/>
      <c r="AL318" s="20"/>
      <c r="AM318" s="24"/>
      <c r="AN318" s="59"/>
      <c r="AO318" s="12"/>
      <c r="AP318" s="60"/>
    </row>
    <row r="319" spans="1:42" ht="15.6" x14ac:dyDescent="0.3">
      <c r="A319" s="23"/>
      <c r="B319" s="20"/>
      <c r="C319" s="20"/>
      <c r="D319" s="20"/>
      <c r="E319" s="20"/>
      <c r="F319" s="66"/>
      <c r="G319" s="20"/>
      <c r="H319" s="20"/>
      <c r="I319" s="20"/>
      <c r="J319" s="50"/>
      <c r="K319" s="5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19"/>
      <c r="AI319" s="20"/>
      <c r="AJ319" s="20"/>
      <c r="AK319" s="20"/>
      <c r="AL319" s="20"/>
      <c r="AM319" s="24"/>
      <c r="AN319" s="59"/>
      <c r="AO319" s="12"/>
      <c r="AP319" s="60"/>
    </row>
    <row r="320" spans="1:42" ht="15.6" x14ac:dyDescent="0.3">
      <c r="A320" s="23"/>
      <c r="B320" s="20"/>
      <c r="C320" s="20"/>
      <c r="D320" s="20"/>
      <c r="E320" s="20"/>
      <c r="F320" s="66"/>
      <c r="G320" s="20"/>
      <c r="H320" s="20"/>
      <c r="I320" s="20"/>
      <c r="J320" s="50"/>
      <c r="K320" s="5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19"/>
      <c r="AI320" s="20"/>
      <c r="AJ320" s="20"/>
      <c r="AK320" s="20"/>
      <c r="AL320" s="20"/>
      <c r="AM320" s="24"/>
      <c r="AN320" s="59"/>
      <c r="AO320" s="12"/>
      <c r="AP320" s="60"/>
    </row>
    <row r="321" spans="1:42" ht="15.6" x14ac:dyDescent="0.3">
      <c r="A321" s="23"/>
      <c r="B321" s="20"/>
      <c r="C321" s="20"/>
      <c r="D321" s="20"/>
      <c r="E321" s="20"/>
      <c r="F321" s="66"/>
      <c r="G321" s="20"/>
      <c r="H321" s="20"/>
      <c r="I321" s="20"/>
      <c r="J321" s="50"/>
      <c r="K321" s="5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19"/>
      <c r="AI321" s="20"/>
      <c r="AJ321" s="20"/>
      <c r="AK321" s="20"/>
      <c r="AL321" s="20"/>
      <c r="AM321" s="24"/>
      <c r="AN321" s="59"/>
      <c r="AO321" s="12"/>
      <c r="AP321" s="60"/>
    </row>
    <row r="322" spans="1:42" ht="15.6" x14ac:dyDescent="0.3">
      <c r="A322" s="23"/>
      <c r="B322" s="20"/>
      <c r="C322" s="20"/>
      <c r="D322" s="20"/>
      <c r="E322" s="20"/>
      <c r="F322" s="66"/>
      <c r="G322" s="20"/>
      <c r="H322" s="20"/>
      <c r="I322" s="20"/>
      <c r="J322" s="50"/>
      <c r="K322" s="5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19"/>
      <c r="AI322" s="20"/>
      <c r="AJ322" s="20"/>
      <c r="AK322" s="20"/>
      <c r="AL322" s="20"/>
      <c r="AM322" s="24"/>
      <c r="AN322" s="59"/>
      <c r="AO322" s="12"/>
      <c r="AP322" s="60"/>
    </row>
    <row r="323" spans="1:42" ht="15.6" x14ac:dyDescent="0.3">
      <c r="A323" s="23"/>
      <c r="B323" s="20"/>
      <c r="C323" s="20"/>
      <c r="D323" s="20"/>
      <c r="E323" s="20"/>
      <c r="F323" s="66"/>
      <c r="G323" s="20"/>
      <c r="H323" s="20"/>
      <c r="I323" s="20"/>
      <c r="J323" s="50"/>
      <c r="K323" s="5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19"/>
      <c r="AI323" s="20"/>
      <c r="AJ323" s="20"/>
      <c r="AK323" s="20"/>
      <c r="AL323" s="20"/>
      <c r="AM323" s="24"/>
      <c r="AN323" s="59"/>
      <c r="AO323" s="12"/>
      <c r="AP323" s="60"/>
    </row>
    <row r="324" spans="1:42" ht="15.6" x14ac:dyDescent="0.3">
      <c r="A324" s="23"/>
      <c r="B324" s="20"/>
      <c r="C324" s="20"/>
      <c r="D324" s="20"/>
      <c r="E324" s="20"/>
      <c r="F324" s="66"/>
      <c r="G324" s="20"/>
      <c r="H324" s="20"/>
      <c r="I324" s="20"/>
      <c r="J324" s="50"/>
      <c r="K324" s="5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19"/>
      <c r="AI324" s="20"/>
      <c r="AJ324" s="20"/>
      <c r="AK324" s="20"/>
      <c r="AL324" s="20"/>
      <c r="AM324" s="24"/>
      <c r="AN324" s="59"/>
      <c r="AO324" s="12"/>
      <c r="AP324" s="60"/>
    </row>
    <row r="325" spans="1:42" ht="15.6" x14ac:dyDescent="0.3">
      <c r="A325" s="23"/>
      <c r="B325" s="20"/>
      <c r="C325" s="20"/>
      <c r="D325" s="20"/>
      <c r="E325" s="20"/>
      <c r="F325" s="66"/>
      <c r="G325" s="20"/>
      <c r="H325" s="20"/>
      <c r="I325" s="20"/>
      <c r="J325" s="50"/>
      <c r="K325" s="5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19"/>
      <c r="AI325" s="20"/>
      <c r="AJ325" s="20"/>
      <c r="AK325" s="20"/>
      <c r="AL325" s="20"/>
      <c r="AM325" s="24"/>
      <c r="AN325" s="59"/>
      <c r="AO325" s="12"/>
      <c r="AP325" s="60"/>
    </row>
    <row r="326" spans="1:42" ht="15.6" x14ac:dyDescent="0.3">
      <c r="A326" s="23"/>
      <c r="B326" s="20"/>
      <c r="C326" s="20"/>
      <c r="D326" s="20"/>
      <c r="E326" s="20"/>
      <c r="F326" s="66"/>
      <c r="G326" s="20"/>
      <c r="H326" s="20"/>
      <c r="I326" s="20"/>
      <c r="J326" s="50"/>
      <c r="K326" s="5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19"/>
      <c r="AI326" s="20"/>
      <c r="AJ326" s="20"/>
      <c r="AK326" s="20"/>
      <c r="AL326" s="20"/>
      <c r="AM326" s="24"/>
      <c r="AN326" s="59"/>
      <c r="AO326" s="12"/>
      <c r="AP326" s="60"/>
    </row>
    <row r="327" spans="1:42" ht="15.6" x14ac:dyDescent="0.3">
      <c r="A327" s="23"/>
      <c r="B327" s="20"/>
      <c r="C327" s="20"/>
      <c r="D327" s="20"/>
      <c r="E327" s="20"/>
      <c r="F327" s="66"/>
      <c r="G327" s="20"/>
      <c r="H327" s="20"/>
      <c r="I327" s="20"/>
      <c r="J327" s="50"/>
      <c r="K327" s="5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19"/>
      <c r="AI327" s="20"/>
      <c r="AJ327" s="20"/>
      <c r="AK327" s="20"/>
      <c r="AL327" s="20"/>
      <c r="AM327" s="24"/>
      <c r="AN327" s="59"/>
      <c r="AO327" s="12"/>
      <c r="AP327" s="60"/>
    </row>
    <row r="328" spans="1:42" ht="15.6" x14ac:dyDescent="0.3">
      <c r="A328" s="23"/>
      <c r="B328" s="20"/>
      <c r="C328" s="20"/>
      <c r="D328" s="20"/>
      <c r="E328" s="20"/>
      <c r="F328" s="66"/>
      <c r="G328" s="20"/>
      <c r="H328" s="20"/>
      <c r="I328" s="20"/>
      <c r="J328" s="50"/>
      <c r="K328" s="5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19"/>
      <c r="AI328" s="20"/>
      <c r="AJ328" s="20"/>
      <c r="AK328" s="20"/>
      <c r="AL328" s="20"/>
      <c r="AM328" s="24"/>
      <c r="AN328" s="59"/>
      <c r="AO328" s="12"/>
      <c r="AP328" s="60"/>
    </row>
    <row r="329" spans="1:42" ht="15.6" x14ac:dyDescent="0.3">
      <c r="A329" s="23"/>
      <c r="B329" s="20"/>
      <c r="C329" s="20"/>
      <c r="D329" s="20"/>
      <c r="E329" s="20"/>
      <c r="F329" s="66"/>
      <c r="G329" s="20"/>
      <c r="H329" s="20"/>
      <c r="I329" s="20"/>
      <c r="J329" s="50"/>
      <c r="K329" s="5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19"/>
      <c r="AI329" s="20"/>
      <c r="AJ329" s="20"/>
      <c r="AK329" s="20"/>
      <c r="AL329" s="20"/>
      <c r="AM329" s="24"/>
      <c r="AN329" s="59"/>
      <c r="AO329" s="12"/>
      <c r="AP329" s="60"/>
    </row>
    <row r="330" spans="1:42" ht="15.6" x14ac:dyDescent="0.3">
      <c r="A330" s="23"/>
      <c r="B330" s="20"/>
      <c r="C330" s="20"/>
      <c r="D330" s="20"/>
      <c r="E330" s="20"/>
      <c r="F330" s="66"/>
      <c r="G330" s="20"/>
      <c r="H330" s="20"/>
      <c r="I330" s="20"/>
      <c r="J330" s="50"/>
      <c r="K330" s="5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19"/>
      <c r="AI330" s="20"/>
      <c r="AJ330" s="20"/>
      <c r="AK330" s="20"/>
      <c r="AL330" s="20"/>
      <c r="AM330" s="24"/>
      <c r="AN330" s="59"/>
      <c r="AO330" s="12"/>
      <c r="AP330" s="60"/>
    </row>
    <row r="331" spans="1:42" ht="15.6" x14ac:dyDescent="0.3">
      <c r="A331" s="23"/>
      <c r="B331" s="20"/>
      <c r="C331" s="20"/>
      <c r="D331" s="20"/>
      <c r="E331" s="20"/>
      <c r="F331" s="66"/>
      <c r="G331" s="20"/>
      <c r="H331" s="20"/>
      <c r="I331" s="20"/>
      <c r="J331" s="50"/>
      <c r="K331" s="5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19"/>
      <c r="AI331" s="20"/>
      <c r="AJ331" s="20"/>
      <c r="AK331" s="20"/>
      <c r="AL331" s="20"/>
      <c r="AM331" s="24"/>
      <c r="AN331" s="59"/>
      <c r="AO331" s="12"/>
      <c r="AP331" s="60"/>
    </row>
    <row r="332" spans="1:42" ht="15.6" x14ac:dyDescent="0.3">
      <c r="A332" s="23"/>
      <c r="B332" s="20"/>
      <c r="C332" s="20"/>
      <c r="D332" s="20"/>
      <c r="E332" s="20"/>
      <c r="F332" s="66"/>
      <c r="G332" s="20"/>
      <c r="H332" s="20"/>
      <c r="I332" s="20"/>
      <c r="J332" s="50"/>
      <c r="K332" s="5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19"/>
      <c r="AI332" s="20"/>
      <c r="AJ332" s="20"/>
      <c r="AK332" s="20"/>
      <c r="AL332" s="20"/>
      <c r="AM332" s="24"/>
      <c r="AN332" s="59"/>
      <c r="AO332" s="12"/>
      <c r="AP332" s="60"/>
    </row>
    <row r="333" spans="1:42" ht="15.6" x14ac:dyDescent="0.3">
      <c r="A333" s="23"/>
      <c r="B333" s="20"/>
      <c r="C333" s="20"/>
      <c r="D333" s="20"/>
      <c r="E333" s="20"/>
      <c r="F333" s="66"/>
      <c r="G333" s="20"/>
      <c r="H333" s="20"/>
      <c r="I333" s="20"/>
      <c r="J333" s="50"/>
      <c r="K333" s="5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19"/>
      <c r="AI333" s="20"/>
      <c r="AJ333" s="20"/>
      <c r="AK333" s="20"/>
      <c r="AL333" s="20"/>
      <c r="AM333" s="24"/>
      <c r="AN333" s="59"/>
      <c r="AO333" s="12"/>
      <c r="AP333" s="60"/>
    </row>
    <row r="334" spans="1:42" ht="15.6" x14ac:dyDescent="0.3">
      <c r="A334" s="23"/>
      <c r="B334" s="20"/>
      <c r="C334" s="20"/>
      <c r="D334" s="20"/>
      <c r="E334" s="20"/>
      <c r="F334" s="66"/>
      <c r="G334" s="20"/>
      <c r="H334" s="20"/>
      <c r="I334" s="20"/>
      <c r="J334" s="50"/>
      <c r="K334" s="5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19"/>
      <c r="AI334" s="20"/>
      <c r="AJ334" s="20"/>
      <c r="AK334" s="20"/>
      <c r="AL334" s="20"/>
      <c r="AM334" s="24"/>
      <c r="AN334" s="59"/>
      <c r="AO334" s="12"/>
      <c r="AP334" s="60"/>
    </row>
    <row r="335" spans="1:42" ht="15.6" x14ac:dyDescent="0.3">
      <c r="A335" s="23"/>
      <c r="B335" s="20"/>
      <c r="C335" s="20"/>
      <c r="D335" s="20"/>
      <c r="E335" s="20"/>
      <c r="F335" s="66"/>
      <c r="G335" s="20"/>
      <c r="H335" s="20"/>
      <c r="I335" s="20"/>
      <c r="J335" s="50"/>
      <c r="K335" s="5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19"/>
      <c r="AI335" s="20"/>
      <c r="AJ335" s="20"/>
      <c r="AK335" s="20"/>
      <c r="AL335" s="20"/>
      <c r="AM335" s="24"/>
      <c r="AN335" s="59"/>
      <c r="AO335" s="12"/>
      <c r="AP335" s="60"/>
    </row>
    <row r="336" spans="1:42" ht="15.6" x14ac:dyDescent="0.3">
      <c r="A336" s="23"/>
      <c r="B336" s="20"/>
      <c r="C336" s="20"/>
      <c r="D336" s="20"/>
      <c r="E336" s="20"/>
      <c r="F336" s="66"/>
      <c r="G336" s="20"/>
      <c r="H336" s="20"/>
      <c r="I336" s="20"/>
      <c r="J336" s="50"/>
      <c r="K336" s="5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19"/>
      <c r="AI336" s="20"/>
      <c r="AJ336" s="20"/>
      <c r="AK336" s="20"/>
      <c r="AL336" s="20"/>
      <c r="AM336" s="24"/>
      <c r="AN336" s="59"/>
      <c r="AO336" s="12"/>
      <c r="AP336" s="60"/>
    </row>
    <row r="337" spans="1:42" ht="15.6" x14ac:dyDescent="0.3">
      <c r="A337" s="23"/>
      <c r="B337" s="20"/>
      <c r="C337" s="20"/>
      <c r="D337" s="20"/>
      <c r="E337" s="20"/>
      <c r="F337" s="66"/>
      <c r="G337" s="20"/>
      <c r="H337" s="20"/>
      <c r="I337" s="20"/>
      <c r="J337" s="50"/>
      <c r="K337" s="5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19"/>
      <c r="AI337" s="20"/>
      <c r="AJ337" s="20"/>
      <c r="AK337" s="20"/>
      <c r="AL337" s="20"/>
      <c r="AM337" s="24"/>
      <c r="AN337" s="59"/>
      <c r="AO337" s="12"/>
      <c r="AP337" s="60"/>
    </row>
    <row r="338" spans="1:42" ht="15.6" x14ac:dyDescent="0.3">
      <c r="A338" s="23"/>
      <c r="B338" s="20"/>
      <c r="C338" s="20"/>
      <c r="D338" s="20"/>
      <c r="E338" s="20"/>
      <c r="F338" s="66"/>
      <c r="G338" s="20"/>
      <c r="H338" s="20"/>
      <c r="I338" s="20"/>
      <c r="J338" s="50"/>
      <c r="K338" s="5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19"/>
      <c r="AI338" s="20"/>
      <c r="AJ338" s="20"/>
      <c r="AK338" s="20"/>
      <c r="AL338" s="20"/>
      <c r="AM338" s="24"/>
      <c r="AN338" s="59"/>
      <c r="AO338" s="12"/>
      <c r="AP338" s="60"/>
    </row>
    <row r="339" spans="1:42" ht="15.6" x14ac:dyDescent="0.3">
      <c r="A339" s="23"/>
      <c r="B339" s="20"/>
      <c r="C339" s="20"/>
      <c r="D339" s="20"/>
      <c r="E339" s="20"/>
      <c r="F339" s="66"/>
      <c r="G339" s="20"/>
      <c r="H339" s="20"/>
      <c r="I339" s="20"/>
      <c r="J339" s="50"/>
      <c r="K339" s="5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19"/>
      <c r="AI339" s="20"/>
      <c r="AJ339" s="20"/>
      <c r="AK339" s="20"/>
      <c r="AL339" s="20"/>
      <c r="AM339" s="24"/>
      <c r="AN339" s="59"/>
      <c r="AO339" s="12"/>
      <c r="AP339" s="60"/>
    </row>
    <row r="340" spans="1:42" ht="15.6" x14ac:dyDescent="0.3">
      <c r="A340" s="23"/>
      <c r="B340" s="20"/>
      <c r="C340" s="20"/>
      <c r="D340" s="20"/>
      <c r="E340" s="20"/>
      <c r="F340" s="66"/>
      <c r="G340" s="20"/>
      <c r="H340" s="20"/>
      <c r="I340" s="20"/>
      <c r="J340" s="50"/>
      <c r="K340" s="5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19"/>
      <c r="AI340" s="20"/>
      <c r="AJ340" s="20"/>
      <c r="AK340" s="20"/>
      <c r="AL340" s="20"/>
      <c r="AM340" s="24"/>
      <c r="AN340" s="59"/>
      <c r="AO340" s="12"/>
      <c r="AP340" s="60"/>
    </row>
    <row r="341" spans="1:42" ht="15.6" x14ac:dyDescent="0.3">
      <c r="A341" s="23"/>
      <c r="B341" s="20"/>
      <c r="C341" s="20"/>
      <c r="D341" s="20"/>
      <c r="E341" s="20"/>
      <c r="F341" s="66"/>
      <c r="G341" s="20"/>
      <c r="H341" s="20"/>
      <c r="I341" s="20"/>
      <c r="J341" s="50"/>
      <c r="K341" s="5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19"/>
      <c r="AI341" s="20"/>
      <c r="AJ341" s="20"/>
      <c r="AK341" s="20"/>
      <c r="AL341" s="20"/>
      <c r="AM341" s="24"/>
      <c r="AN341" s="59"/>
      <c r="AO341" s="12"/>
      <c r="AP341" s="60"/>
    </row>
    <row r="342" spans="1:42" ht="15.6" x14ac:dyDescent="0.3">
      <c r="A342" s="23"/>
      <c r="B342" s="20"/>
      <c r="C342" s="20"/>
      <c r="D342" s="20"/>
      <c r="E342" s="20"/>
      <c r="F342" s="66"/>
      <c r="G342" s="20"/>
      <c r="H342" s="20"/>
      <c r="I342" s="20"/>
      <c r="J342" s="50"/>
      <c r="K342" s="5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19"/>
      <c r="AI342" s="20"/>
      <c r="AJ342" s="20"/>
      <c r="AK342" s="20"/>
      <c r="AL342" s="20"/>
      <c r="AM342" s="24"/>
      <c r="AN342" s="59"/>
      <c r="AO342" s="12"/>
      <c r="AP342" s="60"/>
    </row>
    <row r="343" spans="1:42" ht="15.6" x14ac:dyDescent="0.3">
      <c r="A343" s="23"/>
      <c r="B343" s="20"/>
      <c r="C343" s="20"/>
      <c r="D343" s="20"/>
      <c r="E343" s="20"/>
      <c r="F343" s="66"/>
      <c r="G343" s="20"/>
      <c r="H343" s="20"/>
      <c r="I343" s="20"/>
      <c r="J343" s="50"/>
      <c r="K343" s="5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19"/>
      <c r="AI343" s="20"/>
      <c r="AJ343" s="20"/>
      <c r="AK343" s="20"/>
      <c r="AL343" s="20"/>
      <c r="AM343" s="24"/>
      <c r="AN343" s="59"/>
      <c r="AO343" s="12"/>
      <c r="AP343" s="60"/>
    </row>
    <row r="344" spans="1:42" ht="15.6" x14ac:dyDescent="0.3">
      <c r="A344" s="23"/>
      <c r="B344" s="20"/>
      <c r="C344" s="20"/>
      <c r="D344" s="20"/>
      <c r="E344" s="20"/>
      <c r="F344" s="66"/>
      <c r="G344" s="20"/>
      <c r="H344" s="20"/>
      <c r="I344" s="20"/>
      <c r="J344" s="50"/>
      <c r="K344" s="5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19"/>
      <c r="AI344" s="20"/>
      <c r="AJ344" s="20"/>
      <c r="AK344" s="20"/>
      <c r="AL344" s="20"/>
      <c r="AM344" s="24"/>
      <c r="AN344" s="59"/>
      <c r="AO344" s="12"/>
      <c r="AP344" s="60"/>
    </row>
    <row r="345" spans="1:42" ht="15.6" x14ac:dyDescent="0.3">
      <c r="A345" s="23"/>
      <c r="B345" s="20"/>
      <c r="C345" s="20"/>
      <c r="D345" s="20"/>
      <c r="E345" s="20"/>
      <c r="F345" s="66"/>
      <c r="G345" s="20"/>
      <c r="H345" s="20"/>
      <c r="I345" s="20"/>
      <c r="J345" s="50"/>
      <c r="K345" s="5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19"/>
      <c r="AI345" s="20"/>
      <c r="AJ345" s="20"/>
      <c r="AK345" s="20"/>
      <c r="AL345" s="20"/>
      <c r="AM345" s="24"/>
      <c r="AN345" s="59"/>
      <c r="AO345" s="12"/>
      <c r="AP345" s="60"/>
    </row>
    <row r="346" spans="1:42" ht="15.6" x14ac:dyDescent="0.3">
      <c r="A346" s="23"/>
      <c r="B346" s="20"/>
      <c r="C346" s="20"/>
      <c r="D346" s="20"/>
      <c r="E346" s="20"/>
      <c r="F346" s="66"/>
      <c r="G346" s="20"/>
      <c r="H346" s="20"/>
      <c r="I346" s="20"/>
      <c r="J346" s="50"/>
      <c r="K346" s="5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19"/>
      <c r="AI346" s="20"/>
      <c r="AJ346" s="20"/>
      <c r="AK346" s="20"/>
      <c r="AL346" s="20"/>
      <c r="AM346" s="24"/>
      <c r="AN346" s="59"/>
      <c r="AO346" s="12"/>
      <c r="AP346" s="60"/>
    </row>
    <row r="347" spans="1:42" ht="15.6" x14ac:dyDescent="0.3">
      <c r="A347" s="23"/>
      <c r="B347" s="20"/>
      <c r="C347" s="20"/>
      <c r="D347" s="20"/>
      <c r="E347" s="20"/>
      <c r="F347" s="66"/>
      <c r="G347" s="20"/>
      <c r="H347" s="20"/>
      <c r="I347" s="20"/>
      <c r="J347" s="50"/>
      <c r="K347" s="5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19"/>
      <c r="AI347" s="20"/>
      <c r="AJ347" s="20"/>
      <c r="AK347" s="20"/>
      <c r="AL347" s="20"/>
      <c r="AM347" s="24"/>
      <c r="AN347" s="59"/>
      <c r="AO347" s="12"/>
      <c r="AP347" s="60"/>
    </row>
    <row r="348" spans="1:42" ht="15.6" x14ac:dyDescent="0.3">
      <c r="A348" s="23"/>
      <c r="B348" s="20"/>
      <c r="C348" s="20"/>
      <c r="D348" s="20"/>
      <c r="E348" s="20"/>
      <c r="F348" s="66"/>
      <c r="G348" s="20"/>
      <c r="H348" s="20"/>
      <c r="I348" s="20"/>
      <c r="J348" s="50"/>
      <c r="K348" s="5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19"/>
      <c r="AI348" s="20"/>
      <c r="AJ348" s="20"/>
      <c r="AK348" s="20"/>
      <c r="AL348" s="20"/>
      <c r="AM348" s="24"/>
      <c r="AN348" s="59"/>
      <c r="AO348" s="12"/>
      <c r="AP348" s="60"/>
    </row>
    <row r="349" spans="1:42" ht="15.6" x14ac:dyDescent="0.3">
      <c r="A349" s="23"/>
      <c r="B349" s="20"/>
      <c r="C349" s="20"/>
      <c r="D349" s="20"/>
      <c r="E349" s="20"/>
      <c r="F349" s="66"/>
      <c r="G349" s="20"/>
      <c r="H349" s="20"/>
      <c r="I349" s="20"/>
      <c r="J349" s="50"/>
      <c r="K349" s="5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19"/>
      <c r="AI349" s="20"/>
      <c r="AJ349" s="20"/>
      <c r="AK349" s="20"/>
      <c r="AL349" s="20"/>
      <c r="AM349" s="24"/>
      <c r="AN349" s="59"/>
      <c r="AO349" s="12"/>
      <c r="AP349" s="60"/>
    </row>
    <row r="350" spans="1:42" ht="15.6" x14ac:dyDescent="0.3">
      <c r="A350" s="23"/>
      <c r="B350" s="20"/>
      <c r="C350" s="20"/>
      <c r="D350" s="20"/>
      <c r="E350" s="20"/>
      <c r="F350" s="66"/>
      <c r="G350" s="20"/>
      <c r="H350" s="20"/>
      <c r="I350" s="20"/>
      <c r="J350" s="50"/>
      <c r="K350" s="5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19"/>
      <c r="AI350" s="20"/>
      <c r="AJ350" s="20"/>
      <c r="AK350" s="20"/>
      <c r="AL350" s="20"/>
      <c r="AM350" s="24"/>
      <c r="AN350" s="59"/>
      <c r="AO350" s="12"/>
      <c r="AP350" s="60"/>
    </row>
    <row r="351" spans="1:42" ht="15.6" x14ac:dyDescent="0.3">
      <c r="A351" s="23"/>
      <c r="B351" s="20"/>
      <c r="C351" s="20"/>
      <c r="D351" s="20"/>
      <c r="E351" s="20"/>
      <c r="F351" s="66"/>
      <c r="G351" s="20"/>
      <c r="H351" s="20"/>
      <c r="I351" s="20"/>
      <c r="J351" s="50"/>
      <c r="K351" s="5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19"/>
      <c r="AI351" s="20"/>
      <c r="AJ351" s="20"/>
      <c r="AK351" s="20"/>
      <c r="AL351" s="20"/>
      <c r="AM351" s="24"/>
      <c r="AN351" s="59"/>
      <c r="AO351" s="12"/>
      <c r="AP351" s="60"/>
    </row>
    <row r="352" spans="1:42" ht="15.6" x14ac:dyDescent="0.3">
      <c r="A352" s="23"/>
      <c r="B352" s="20"/>
      <c r="C352" s="20"/>
      <c r="D352" s="20"/>
      <c r="E352" s="20"/>
      <c r="F352" s="66"/>
      <c r="G352" s="20"/>
      <c r="H352" s="20"/>
      <c r="I352" s="20"/>
      <c r="J352" s="50"/>
      <c r="K352" s="5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19"/>
      <c r="AI352" s="20"/>
      <c r="AJ352" s="20"/>
      <c r="AK352" s="20"/>
      <c r="AL352" s="20"/>
      <c r="AM352" s="24"/>
      <c r="AN352" s="59"/>
      <c r="AO352" s="12"/>
      <c r="AP352" s="60"/>
    </row>
    <row r="353" spans="1:42" ht="15.6" x14ac:dyDescent="0.3">
      <c r="A353" s="23"/>
      <c r="B353" s="20"/>
      <c r="C353" s="20"/>
      <c r="D353" s="20"/>
      <c r="E353" s="20"/>
      <c r="F353" s="66"/>
      <c r="G353" s="20"/>
      <c r="H353" s="20"/>
      <c r="I353" s="20"/>
      <c r="J353" s="50"/>
      <c r="K353" s="5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19"/>
      <c r="AI353" s="20"/>
      <c r="AJ353" s="20"/>
      <c r="AK353" s="20"/>
      <c r="AL353" s="20"/>
      <c r="AM353" s="24"/>
      <c r="AN353" s="59"/>
      <c r="AO353" s="12"/>
      <c r="AP353" s="60"/>
    </row>
    <row r="354" spans="1:42" ht="15.6" x14ac:dyDescent="0.3">
      <c r="A354" s="23"/>
      <c r="B354" s="20"/>
      <c r="C354" s="20"/>
      <c r="D354" s="20"/>
      <c r="E354" s="20"/>
      <c r="F354" s="66"/>
      <c r="G354" s="20"/>
      <c r="H354" s="20"/>
      <c r="I354" s="20"/>
      <c r="J354" s="50"/>
      <c r="K354" s="5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19"/>
      <c r="AI354" s="20"/>
      <c r="AJ354" s="20"/>
      <c r="AK354" s="20"/>
      <c r="AL354" s="20"/>
      <c r="AM354" s="24"/>
      <c r="AN354" s="59"/>
      <c r="AO354" s="12"/>
      <c r="AP354" s="60"/>
    </row>
    <row r="355" spans="1:42" ht="15.6" x14ac:dyDescent="0.3">
      <c r="A355" s="23"/>
      <c r="B355" s="20"/>
      <c r="C355" s="20"/>
      <c r="D355" s="20"/>
      <c r="E355" s="20"/>
      <c r="F355" s="66"/>
      <c r="G355" s="20"/>
      <c r="H355" s="20"/>
      <c r="I355" s="20"/>
      <c r="J355" s="50"/>
      <c r="K355" s="5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19"/>
      <c r="AI355" s="20"/>
      <c r="AJ355" s="20"/>
      <c r="AK355" s="20"/>
      <c r="AL355" s="20"/>
      <c r="AM355" s="24"/>
      <c r="AN355" s="59"/>
      <c r="AO355" s="12"/>
      <c r="AP355" s="60"/>
    </row>
    <row r="356" spans="1:42" ht="15.6" x14ac:dyDescent="0.3">
      <c r="A356" s="23"/>
      <c r="B356" s="20"/>
      <c r="C356" s="20"/>
      <c r="D356" s="20"/>
      <c r="E356" s="20"/>
      <c r="F356" s="66"/>
      <c r="G356" s="20"/>
      <c r="H356" s="20"/>
      <c r="I356" s="20"/>
      <c r="J356" s="50"/>
      <c r="K356" s="5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19"/>
      <c r="AI356" s="20"/>
      <c r="AJ356" s="20"/>
      <c r="AK356" s="20"/>
      <c r="AL356" s="20"/>
      <c r="AM356" s="24"/>
      <c r="AN356" s="59"/>
      <c r="AO356" s="12"/>
      <c r="AP356" s="60"/>
    </row>
    <row r="357" spans="1:42" ht="15.6" x14ac:dyDescent="0.3">
      <c r="A357" s="23"/>
      <c r="B357" s="20"/>
      <c r="C357" s="20"/>
      <c r="D357" s="20"/>
      <c r="E357" s="20"/>
      <c r="F357" s="66"/>
      <c r="G357" s="20"/>
      <c r="H357" s="20"/>
      <c r="I357" s="20"/>
      <c r="J357" s="50"/>
      <c r="K357" s="5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19"/>
      <c r="AI357" s="20"/>
      <c r="AJ357" s="20"/>
      <c r="AK357" s="20"/>
      <c r="AL357" s="20"/>
      <c r="AM357" s="24"/>
      <c r="AN357" s="59"/>
      <c r="AO357" s="12"/>
      <c r="AP357" s="60"/>
    </row>
    <row r="358" spans="1:42" ht="15.6" x14ac:dyDescent="0.3">
      <c r="A358" s="23"/>
      <c r="B358" s="20"/>
      <c r="C358" s="20"/>
      <c r="D358" s="20"/>
      <c r="E358" s="20"/>
      <c r="F358" s="66"/>
      <c r="G358" s="20"/>
      <c r="H358" s="20"/>
      <c r="I358" s="20"/>
      <c r="J358" s="50"/>
      <c r="K358" s="5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19"/>
      <c r="AI358" s="20"/>
      <c r="AJ358" s="20"/>
      <c r="AK358" s="20"/>
      <c r="AL358" s="20"/>
      <c r="AM358" s="24"/>
      <c r="AN358" s="59"/>
      <c r="AO358" s="12"/>
      <c r="AP358" s="60"/>
    </row>
    <row r="359" spans="1:42" ht="15.6" x14ac:dyDescent="0.3">
      <c r="A359" s="23"/>
      <c r="B359" s="20"/>
      <c r="C359" s="20"/>
      <c r="D359" s="20"/>
      <c r="E359" s="20"/>
      <c r="F359" s="66"/>
      <c r="G359" s="20"/>
      <c r="H359" s="20"/>
      <c r="I359" s="20"/>
      <c r="J359" s="50"/>
      <c r="K359" s="5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19"/>
      <c r="AI359" s="20"/>
      <c r="AJ359" s="20"/>
      <c r="AK359" s="20"/>
      <c r="AL359" s="20"/>
      <c r="AM359" s="24"/>
      <c r="AN359" s="59"/>
      <c r="AO359" s="12"/>
      <c r="AP359" s="60"/>
    </row>
    <row r="360" spans="1:42" ht="15.6" x14ac:dyDescent="0.3">
      <c r="A360" s="23"/>
      <c r="B360" s="20"/>
      <c r="C360" s="20"/>
      <c r="D360" s="20"/>
      <c r="E360" s="20"/>
      <c r="F360" s="66"/>
      <c r="G360" s="20"/>
      <c r="H360" s="20"/>
      <c r="I360" s="20"/>
      <c r="J360" s="50"/>
      <c r="K360" s="5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19"/>
      <c r="AI360" s="20"/>
      <c r="AJ360" s="20"/>
      <c r="AK360" s="20"/>
      <c r="AL360" s="20"/>
      <c r="AM360" s="24"/>
      <c r="AN360" s="59"/>
      <c r="AO360" s="12"/>
      <c r="AP360" s="60"/>
    </row>
    <row r="361" spans="1:42" ht="15.6" x14ac:dyDescent="0.3">
      <c r="A361" s="23"/>
      <c r="B361" s="20"/>
      <c r="C361" s="20"/>
      <c r="D361" s="20"/>
      <c r="E361" s="20"/>
      <c r="F361" s="66"/>
      <c r="G361" s="20"/>
      <c r="H361" s="20"/>
      <c r="I361" s="20"/>
      <c r="J361" s="50"/>
      <c r="K361" s="5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19"/>
      <c r="AI361" s="20"/>
      <c r="AJ361" s="20"/>
      <c r="AK361" s="20"/>
      <c r="AL361" s="20"/>
      <c r="AM361" s="24"/>
      <c r="AN361" s="59"/>
      <c r="AO361" s="12"/>
      <c r="AP361" s="60"/>
    </row>
    <row r="362" spans="1:42" ht="15.6" x14ac:dyDescent="0.3">
      <c r="A362" s="23"/>
      <c r="B362" s="20"/>
      <c r="C362" s="20"/>
      <c r="D362" s="20"/>
      <c r="E362" s="20"/>
      <c r="F362" s="66"/>
      <c r="G362" s="20"/>
      <c r="H362" s="20"/>
      <c r="I362" s="20"/>
      <c r="J362" s="50"/>
      <c r="K362" s="5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19"/>
      <c r="AI362" s="20"/>
      <c r="AJ362" s="20"/>
      <c r="AK362" s="20"/>
      <c r="AL362" s="20"/>
      <c r="AM362" s="24"/>
      <c r="AN362" s="59"/>
      <c r="AO362" s="12"/>
      <c r="AP362" s="60"/>
    </row>
    <row r="363" spans="1:42" ht="15.6" x14ac:dyDescent="0.3">
      <c r="A363" s="23"/>
      <c r="B363" s="20"/>
      <c r="C363" s="20"/>
      <c r="D363" s="20"/>
      <c r="E363" s="20"/>
      <c r="F363" s="66"/>
      <c r="G363" s="20"/>
      <c r="H363" s="20"/>
      <c r="I363" s="20"/>
      <c r="J363" s="50"/>
      <c r="K363" s="5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19"/>
      <c r="AI363" s="20"/>
      <c r="AJ363" s="20"/>
      <c r="AK363" s="20"/>
      <c r="AL363" s="20"/>
      <c r="AM363" s="24"/>
      <c r="AN363" s="59"/>
      <c r="AO363" s="12"/>
      <c r="AP363" s="60"/>
    </row>
    <row r="364" spans="1:42" ht="15.6" x14ac:dyDescent="0.3">
      <c r="A364" s="23"/>
      <c r="B364" s="20"/>
      <c r="C364" s="20"/>
      <c r="D364" s="20"/>
      <c r="E364" s="20"/>
      <c r="F364" s="66"/>
      <c r="G364" s="20"/>
      <c r="H364" s="20"/>
      <c r="I364" s="20"/>
      <c r="J364" s="50"/>
      <c r="K364" s="5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19"/>
      <c r="AI364" s="20"/>
      <c r="AJ364" s="20"/>
      <c r="AK364" s="20"/>
      <c r="AL364" s="20"/>
      <c r="AM364" s="24"/>
      <c r="AN364" s="59"/>
      <c r="AO364" s="12"/>
      <c r="AP364" s="60"/>
    </row>
    <row r="365" spans="1:42" ht="15.6" x14ac:dyDescent="0.3">
      <c r="A365" s="23"/>
      <c r="B365" s="20"/>
      <c r="C365" s="20"/>
      <c r="D365" s="20"/>
      <c r="E365" s="20"/>
      <c r="F365" s="66"/>
      <c r="G365" s="20"/>
      <c r="H365" s="20"/>
      <c r="I365" s="20"/>
      <c r="J365" s="50"/>
      <c r="K365" s="5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19"/>
      <c r="AI365" s="20"/>
      <c r="AJ365" s="20"/>
      <c r="AK365" s="20"/>
      <c r="AL365" s="20"/>
      <c r="AM365" s="24"/>
      <c r="AN365" s="59"/>
      <c r="AO365" s="12"/>
      <c r="AP365" s="60"/>
    </row>
    <row r="366" spans="1:42" ht="15.6" x14ac:dyDescent="0.3">
      <c r="A366" s="23"/>
      <c r="B366" s="20"/>
      <c r="C366" s="20"/>
      <c r="D366" s="20"/>
      <c r="E366" s="20"/>
      <c r="F366" s="66"/>
      <c r="G366" s="20"/>
      <c r="H366" s="20"/>
      <c r="I366" s="20"/>
      <c r="J366" s="50"/>
      <c r="K366" s="5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19"/>
      <c r="AI366" s="20"/>
      <c r="AJ366" s="20"/>
      <c r="AK366" s="20"/>
      <c r="AL366" s="20"/>
      <c r="AM366" s="24"/>
      <c r="AN366" s="59"/>
      <c r="AO366" s="12"/>
      <c r="AP366" s="60"/>
    </row>
    <row r="367" spans="1:42" ht="15.6" x14ac:dyDescent="0.3">
      <c r="A367" s="23"/>
      <c r="B367" s="20"/>
      <c r="C367" s="20"/>
      <c r="D367" s="20"/>
      <c r="E367" s="20"/>
      <c r="F367" s="66"/>
      <c r="G367" s="20"/>
      <c r="H367" s="20"/>
      <c r="I367" s="20"/>
      <c r="J367" s="50"/>
      <c r="K367" s="5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19"/>
      <c r="AI367" s="20"/>
      <c r="AJ367" s="20"/>
      <c r="AK367" s="20"/>
      <c r="AL367" s="20"/>
      <c r="AM367" s="24"/>
      <c r="AN367" s="59"/>
      <c r="AO367" s="12"/>
      <c r="AP367" s="60"/>
    </row>
    <row r="368" spans="1:42" ht="15.6" x14ac:dyDescent="0.3">
      <c r="A368" s="23"/>
      <c r="B368" s="20"/>
      <c r="C368" s="20"/>
      <c r="D368" s="20"/>
      <c r="E368" s="20"/>
      <c r="F368" s="66"/>
      <c r="G368" s="20"/>
      <c r="H368" s="20"/>
      <c r="I368" s="20"/>
      <c r="J368" s="50"/>
      <c r="K368" s="5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19"/>
      <c r="AI368" s="20"/>
      <c r="AJ368" s="20"/>
      <c r="AK368" s="20"/>
      <c r="AL368" s="20"/>
      <c r="AM368" s="24"/>
      <c r="AN368" s="59"/>
      <c r="AO368" s="12"/>
      <c r="AP368" s="60"/>
    </row>
    <row r="369" spans="1:42" ht="15.6" x14ac:dyDescent="0.3">
      <c r="A369" s="23"/>
      <c r="B369" s="20"/>
      <c r="C369" s="20"/>
      <c r="D369" s="20"/>
      <c r="E369" s="20"/>
      <c r="F369" s="66"/>
      <c r="G369" s="20"/>
      <c r="H369" s="20"/>
      <c r="I369" s="20"/>
      <c r="J369" s="50"/>
      <c r="K369" s="5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19"/>
      <c r="AI369" s="20"/>
      <c r="AJ369" s="20"/>
      <c r="AK369" s="20"/>
      <c r="AL369" s="20"/>
      <c r="AM369" s="24"/>
      <c r="AN369" s="59"/>
      <c r="AO369" s="12"/>
      <c r="AP369" s="60"/>
    </row>
    <row r="370" spans="1:42" ht="15.6" x14ac:dyDescent="0.3">
      <c r="A370" s="23"/>
      <c r="B370" s="20"/>
      <c r="C370" s="20"/>
      <c r="D370" s="20"/>
      <c r="E370" s="20"/>
      <c r="F370" s="66"/>
      <c r="G370" s="20"/>
      <c r="H370" s="20"/>
      <c r="I370" s="20"/>
      <c r="J370" s="50"/>
      <c r="K370" s="5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19"/>
      <c r="AI370" s="20"/>
      <c r="AJ370" s="20"/>
      <c r="AK370" s="20"/>
      <c r="AL370" s="20"/>
      <c r="AM370" s="24"/>
      <c r="AN370" s="59"/>
      <c r="AO370" s="12"/>
      <c r="AP370" s="60"/>
    </row>
    <row r="371" spans="1:42" ht="15.6" x14ac:dyDescent="0.3">
      <c r="A371" s="23"/>
      <c r="B371" s="20"/>
      <c r="C371" s="20"/>
      <c r="D371" s="20"/>
      <c r="E371" s="20"/>
      <c r="F371" s="66"/>
      <c r="G371" s="20"/>
      <c r="H371" s="20"/>
      <c r="I371" s="20"/>
      <c r="J371" s="50"/>
      <c r="K371" s="5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19"/>
      <c r="AI371" s="20"/>
      <c r="AJ371" s="20"/>
      <c r="AK371" s="20"/>
      <c r="AL371" s="20"/>
      <c r="AM371" s="24"/>
      <c r="AN371" s="59"/>
      <c r="AO371" s="12"/>
      <c r="AP371" s="60"/>
    </row>
    <row r="372" spans="1:42" ht="15.6" x14ac:dyDescent="0.3">
      <c r="A372" s="23"/>
      <c r="B372" s="20"/>
      <c r="C372" s="20"/>
      <c r="D372" s="20"/>
      <c r="E372" s="20"/>
      <c r="F372" s="66"/>
      <c r="G372" s="20"/>
      <c r="H372" s="20"/>
      <c r="I372" s="20"/>
      <c r="J372" s="50"/>
      <c r="K372" s="5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19"/>
      <c r="AI372" s="20"/>
      <c r="AJ372" s="20"/>
      <c r="AK372" s="20"/>
      <c r="AL372" s="20"/>
      <c r="AM372" s="24"/>
      <c r="AN372" s="59"/>
      <c r="AO372" s="12"/>
      <c r="AP372" s="60"/>
    </row>
    <row r="373" spans="1:42" ht="15.6" x14ac:dyDescent="0.3">
      <c r="A373" s="23"/>
      <c r="B373" s="20"/>
      <c r="C373" s="20"/>
      <c r="D373" s="20"/>
      <c r="E373" s="20"/>
      <c r="F373" s="66"/>
      <c r="G373" s="20"/>
      <c r="H373" s="20"/>
      <c r="I373" s="20"/>
      <c r="J373" s="50"/>
      <c r="K373" s="5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19"/>
      <c r="AI373" s="20"/>
      <c r="AJ373" s="20"/>
      <c r="AK373" s="20"/>
      <c r="AL373" s="20"/>
      <c r="AM373" s="24"/>
      <c r="AN373" s="59"/>
      <c r="AO373" s="12"/>
      <c r="AP373" s="60"/>
    </row>
    <row r="374" spans="1:42" ht="15.6" x14ac:dyDescent="0.3">
      <c r="A374" s="23"/>
      <c r="B374" s="20"/>
      <c r="C374" s="20"/>
      <c r="D374" s="20"/>
      <c r="E374" s="20"/>
      <c r="F374" s="66"/>
      <c r="G374" s="20"/>
      <c r="H374" s="20"/>
      <c r="I374" s="20"/>
      <c r="J374" s="50"/>
      <c r="K374" s="5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19"/>
      <c r="AI374" s="20"/>
      <c r="AJ374" s="20"/>
      <c r="AK374" s="20"/>
      <c r="AL374" s="20"/>
      <c r="AM374" s="24"/>
      <c r="AN374" s="59"/>
      <c r="AO374" s="12"/>
      <c r="AP374" s="60"/>
    </row>
    <row r="375" spans="1:42" ht="15.6" x14ac:dyDescent="0.3">
      <c r="A375" s="23"/>
      <c r="B375" s="20"/>
      <c r="C375" s="20"/>
      <c r="D375" s="20"/>
      <c r="E375" s="20"/>
      <c r="F375" s="66"/>
      <c r="G375" s="20"/>
      <c r="H375" s="20"/>
      <c r="I375" s="20"/>
      <c r="J375" s="50"/>
      <c r="K375" s="5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19"/>
      <c r="AI375" s="20"/>
      <c r="AJ375" s="20"/>
      <c r="AK375" s="20"/>
      <c r="AL375" s="20"/>
      <c r="AM375" s="24"/>
      <c r="AN375" s="59"/>
      <c r="AO375" s="12"/>
      <c r="AP375" s="60"/>
    </row>
    <row r="376" spans="1:42" ht="15.6" x14ac:dyDescent="0.3">
      <c r="A376" s="23"/>
      <c r="B376" s="20"/>
      <c r="C376" s="20"/>
      <c r="D376" s="20"/>
      <c r="E376" s="20"/>
      <c r="F376" s="66"/>
      <c r="G376" s="20"/>
      <c r="H376" s="20"/>
      <c r="I376" s="20"/>
      <c r="J376" s="50"/>
      <c r="K376" s="5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19"/>
      <c r="AI376" s="20"/>
      <c r="AJ376" s="20"/>
      <c r="AK376" s="20"/>
      <c r="AL376" s="20"/>
      <c r="AM376" s="24"/>
      <c r="AN376" s="59"/>
      <c r="AO376" s="12"/>
      <c r="AP376" s="60"/>
    </row>
    <row r="377" spans="1:42" ht="15.6" x14ac:dyDescent="0.3">
      <c r="A377" s="23"/>
      <c r="B377" s="20"/>
      <c r="C377" s="20"/>
      <c r="D377" s="20"/>
      <c r="E377" s="20"/>
      <c r="F377" s="66"/>
      <c r="G377" s="20"/>
      <c r="H377" s="20"/>
      <c r="I377" s="20"/>
      <c r="J377" s="50"/>
      <c r="K377" s="5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19"/>
      <c r="AI377" s="20"/>
      <c r="AJ377" s="20"/>
      <c r="AK377" s="20"/>
      <c r="AL377" s="20"/>
      <c r="AM377" s="24"/>
      <c r="AN377" s="59"/>
      <c r="AO377" s="12"/>
      <c r="AP377" s="60"/>
    </row>
    <row r="378" spans="1:42" ht="15.6" x14ac:dyDescent="0.3">
      <c r="A378" s="23"/>
      <c r="B378" s="20"/>
      <c r="C378" s="20"/>
      <c r="D378" s="20"/>
      <c r="E378" s="20"/>
      <c r="F378" s="66"/>
      <c r="G378" s="20"/>
      <c r="H378" s="20"/>
      <c r="I378" s="20"/>
      <c r="J378" s="50"/>
      <c r="K378" s="5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19"/>
      <c r="AI378" s="20"/>
      <c r="AJ378" s="20"/>
      <c r="AK378" s="20"/>
      <c r="AL378" s="20"/>
      <c r="AM378" s="24"/>
      <c r="AN378" s="59"/>
      <c r="AO378" s="12"/>
      <c r="AP378" s="60"/>
    </row>
    <row r="379" spans="1:42" ht="15.6" x14ac:dyDescent="0.3">
      <c r="A379" s="23"/>
      <c r="B379" s="20"/>
      <c r="C379" s="20"/>
      <c r="D379" s="20"/>
      <c r="E379" s="20"/>
      <c r="F379" s="66"/>
      <c r="G379" s="20"/>
      <c r="H379" s="20"/>
      <c r="I379" s="20"/>
      <c r="J379" s="50"/>
      <c r="K379" s="5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19"/>
      <c r="AI379" s="20"/>
      <c r="AJ379" s="20"/>
      <c r="AK379" s="20"/>
      <c r="AL379" s="20"/>
      <c r="AM379" s="24"/>
      <c r="AN379" s="59"/>
      <c r="AO379" s="12"/>
      <c r="AP379" s="60"/>
    </row>
    <row r="380" spans="1:42" ht="15.6" x14ac:dyDescent="0.3">
      <c r="A380" s="23"/>
      <c r="B380" s="20"/>
      <c r="C380" s="20"/>
      <c r="D380" s="20"/>
      <c r="E380" s="20"/>
      <c r="F380" s="66"/>
      <c r="G380" s="20"/>
      <c r="H380" s="20"/>
      <c r="I380" s="20"/>
      <c r="J380" s="50"/>
      <c r="K380" s="5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19"/>
      <c r="AI380" s="20"/>
      <c r="AJ380" s="20"/>
      <c r="AK380" s="20"/>
      <c r="AL380" s="20"/>
      <c r="AM380" s="24"/>
      <c r="AN380" s="59"/>
      <c r="AO380" s="12"/>
      <c r="AP380" s="60"/>
    </row>
    <row r="381" spans="1:42" ht="15.6" x14ac:dyDescent="0.3">
      <c r="A381" s="23"/>
      <c r="B381" s="20"/>
      <c r="C381" s="20"/>
      <c r="D381" s="20"/>
      <c r="E381" s="20"/>
      <c r="F381" s="66"/>
      <c r="G381" s="20"/>
      <c r="H381" s="20"/>
      <c r="I381" s="20"/>
      <c r="J381" s="50"/>
      <c r="K381" s="5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19"/>
      <c r="AI381" s="20"/>
      <c r="AJ381" s="20"/>
      <c r="AK381" s="20"/>
      <c r="AL381" s="20"/>
      <c r="AM381" s="24"/>
      <c r="AN381" s="59"/>
      <c r="AO381" s="12"/>
      <c r="AP381" s="60"/>
    </row>
    <row r="382" spans="1:42" ht="15.6" x14ac:dyDescent="0.3">
      <c r="A382" s="23"/>
      <c r="B382" s="20"/>
      <c r="C382" s="20"/>
      <c r="D382" s="20"/>
      <c r="E382" s="20"/>
      <c r="F382" s="66"/>
      <c r="G382" s="20"/>
      <c r="H382" s="20"/>
      <c r="I382" s="20"/>
      <c r="J382" s="50"/>
      <c r="K382" s="5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19"/>
      <c r="AI382" s="20"/>
      <c r="AJ382" s="20"/>
      <c r="AK382" s="20"/>
      <c r="AL382" s="20"/>
      <c r="AM382" s="24"/>
      <c r="AN382" s="59"/>
      <c r="AO382" s="12"/>
      <c r="AP382" s="60"/>
    </row>
    <row r="383" spans="1:42" ht="15.6" x14ac:dyDescent="0.3">
      <c r="A383" s="23"/>
      <c r="B383" s="20"/>
      <c r="C383" s="20"/>
      <c r="D383" s="20"/>
      <c r="E383" s="20"/>
      <c r="F383" s="66"/>
      <c r="G383" s="20"/>
      <c r="H383" s="20"/>
      <c r="I383" s="20"/>
      <c r="J383" s="50"/>
      <c r="K383" s="5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19"/>
      <c r="AI383" s="20"/>
      <c r="AJ383" s="20"/>
      <c r="AK383" s="20"/>
      <c r="AL383" s="20"/>
      <c r="AM383" s="24"/>
      <c r="AN383" s="59"/>
      <c r="AO383" s="12"/>
      <c r="AP383" s="60"/>
    </row>
    <row r="384" spans="1:42" ht="15.6" x14ac:dyDescent="0.3">
      <c r="A384" s="23"/>
      <c r="B384" s="20"/>
      <c r="C384" s="20"/>
      <c r="D384" s="20"/>
      <c r="E384" s="20"/>
      <c r="F384" s="66"/>
      <c r="G384" s="20"/>
      <c r="H384" s="20"/>
      <c r="I384" s="20"/>
      <c r="J384" s="50"/>
      <c r="K384" s="5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19"/>
      <c r="AI384" s="20"/>
      <c r="AJ384" s="20"/>
      <c r="AK384" s="20"/>
      <c r="AL384" s="20"/>
      <c r="AM384" s="24"/>
      <c r="AN384" s="59"/>
      <c r="AO384" s="12"/>
      <c r="AP384" s="60"/>
    </row>
    <row r="385" spans="1:42" ht="15.6" x14ac:dyDescent="0.3">
      <c r="A385" s="23"/>
      <c r="B385" s="20"/>
      <c r="C385" s="20"/>
      <c r="D385" s="20"/>
      <c r="E385" s="20"/>
      <c r="F385" s="66"/>
      <c r="G385" s="20"/>
      <c r="H385" s="20"/>
      <c r="I385" s="20"/>
      <c r="J385" s="50"/>
      <c r="K385" s="5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19"/>
      <c r="AI385" s="20"/>
      <c r="AJ385" s="20"/>
      <c r="AK385" s="20"/>
      <c r="AL385" s="20"/>
      <c r="AM385" s="24"/>
      <c r="AN385" s="59"/>
      <c r="AO385" s="12"/>
      <c r="AP385" s="60"/>
    </row>
    <row r="386" spans="1:42" ht="15.6" x14ac:dyDescent="0.3">
      <c r="A386" s="23"/>
      <c r="B386" s="20"/>
      <c r="C386" s="20"/>
      <c r="D386" s="20"/>
      <c r="E386" s="20"/>
      <c r="F386" s="66"/>
      <c r="G386" s="20"/>
      <c r="H386" s="20"/>
      <c r="I386" s="20"/>
      <c r="J386" s="50"/>
      <c r="K386" s="5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19"/>
      <c r="AI386" s="20"/>
      <c r="AJ386" s="20"/>
      <c r="AK386" s="20"/>
      <c r="AL386" s="20"/>
      <c r="AM386" s="24"/>
      <c r="AN386" s="59"/>
      <c r="AO386" s="12"/>
      <c r="AP386" s="60"/>
    </row>
    <row r="387" spans="1:42" ht="15.6" x14ac:dyDescent="0.3">
      <c r="A387" s="23"/>
      <c r="B387" s="20"/>
      <c r="C387" s="20"/>
      <c r="D387" s="20"/>
      <c r="E387" s="20"/>
      <c r="F387" s="66"/>
      <c r="G387" s="20"/>
      <c r="H387" s="20"/>
      <c r="I387" s="20"/>
      <c r="J387" s="50"/>
      <c r="K387" s="5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19"/>
      <c r="AI387" s="20"/>
      <c r="AJ387" s="20"/>
      <c r="AK387" s="20"/>
      <c r="AL387" s="20"/>
      <c r="AM387" s="24"/>
      <c r="AN387" s="59"/>
      <c r="AO387" s="12"/>
      <c r="AP387" s="60"/>
    </row>
    <row r="388" spans="1:42" ht="15.6" x14ac:dyDescent="0.3">
      <c r="A388" s="23"/>
      <c r="B388" s="20"/>
      <c r="C388" s="20"/>
      <c r="D388" s="20"/>
      <c r="E388" s="20"/>
      <c r="F388" s="66"/>
      <c r="G388" s="20"/>
      <c r="H388" s="20"/>
      <c r="I388" s="20"/>
      <c r="J388" s="50"/>
      <c r="K388" s="5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19"/>
      <c r="AI388" s="20"/>
      <c r="AJ388" s="20"/>
      <c r="AK388" s="20"/>
      <c r="AL388" s="20"/>
      <c r="AM388" s="24"/>
      <c r="AN388" s="59"/>
      <c r="AO388" s="12"/>
      <c r="AP388" s="60"/>
    </row>
    <row r="389" spans="1:42" ht="15.6" x14ac:dyDescent="0.3">
      <c r="A389" s="23"/>
      <c r="B389" s="20"/>
      <c r="C389" s="20"/>
      <c r="D389" s="20"/>
      <c r="E389" s="20"/>
      <c r="F389" s="66"/>
      <c r="G389" s="20"/>
      <c r="H389" s="20"/>
      <c r="I389" s="20"/>
      <c r="J389" s="50"/>
      <c r="K389" s="5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19"/>
      <c r="AI389" s="20"/>
      <c r="AJ389" s="20"/>
      <c r="AK389" s="20"/>
      <c r="AL389" s="20"/>
      <c r="AM389" s="24"/>
      <c r="AN389" s="59"/>
      <c r="AO389" s="12"/>
      <c r="AP389" s="60"/>
    </row>
    <row r="390" spans="1:42" ht="15.6" x14ac:dyDescent="0.3">
      <c r="A390" s="23"/>
      <c r="B390" s="20"/>
      <c r="C390" s="20"/>
      <c r="D390" s="20"/>
      <c r="E390" s="20"/>
      <c r="F390" s="66"/>
      <c r="G390" s="20"/>
      <c r="H390" s="20"/>
      <c r="I390" s="20"/>
      <c r="J390" s="50"/>
      <c r="K390" s="5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19"/>
      <c r="AI390" s="20"/>
      <c r="AJ390" s="20"/>
      <c r="AK390" s="20"/>
      <c r="AL390" s="20"/>
      <c r="AM390" s="24"/>
      <c r="AN390" s="59"/>
      <c r="AO390" s="12"/>
      <c r="AP390" s="60"/>
    </row>
    <row r="391" spans="1:42" ht="15.6" x14ac:dyDescent="0.3">
      <c r="A391" s="23"/>
      <c r="B391" s="20"/>
      <c r="C391" s="20"/>
      <c r="D391" s="20"/>
      <c r="E391" s="20"/>
      <c r="F391" s="66"/>
      <c r="G391" s="20"/>
      <c r="H391" s="20"/>
      <c r="I391" s="20"/>
      <c r="J391" s="50"/>
      <c r="K391" s="5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19"/>
      <c r="AI391" s="20"/>
      <c r="AJ391" s="20"/>
      <c r="AK391" s="20"/>
      <c r="AL391" s="20"/>
      <c r="AM391" s="24"/>
      <c r="AN391" s="59"/>
      <c r="AO391" s="12"/>
      <c r="AP391" s="60"/>
    </row>
    <row r="392" spans="1:42" ht="15.6" x14ac:dyDescent="0.3">
      <c r="A392" s="23"/>
      <c r="B392" s="20"/>
      <c r="C392" s="20"/>
      <c r="D392" s="20"/>
      <c r="E392" s="20"/>
      <c r="F392" s="66"/>
      <c r="G392" s="20"/>
      <c r="H392" s="20"/>
      <c r="I392" s="20"/>
      <c r="J392" s="50"/>
      <c r="K392" s="5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19"/>
      <c r="AI392" s="20"/>
      <c r="AJ392" s="20"/>
      <c r="AK392" s="20"/>
      <c r="AL392" s="20"/>
      <c r="AM392" s="24"/>
      <c r="AN392" s="59"/>
      <c r="AO392" s="12"/>
      <c r="AP392" s="60"/>
    </row>
    <row r="393" spans="1:42" ht="15.6" x14ac:dyDescent="0.3">
      <c r="A393" s="23"/>
      <c r="B393" s="20"/>
      <c r="C393" s="20"/>
      <c r="D393" s="20"/>
      <c r="E393" s="20"/>
      <c r="F393" s="66"/>
      <c r="G393" s="20"/>
      <c r="H393" s="20"/>
      <c r="I393" s="20"/>
      <c r="J393" s="50"/>
      <c r="K393" s="5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19"/>
      <c r="AI393" s="20"/>
      <c r="AJ393" s="20"/>
      <c r="AK393" s="20"/>
      <c r="AL393" s="20"/>
      <c r="AM393" s="24"/>
      <c r="AN393" s="59"/>
      <c r="AO393" s="12"/>
      <c r="AP393" s="60"/>
    </row>
    <row r="394" spans="1:42" ht="15.6" x14ac:dyDescent="0.3">
      <c r="A394" s="23"/>
      <c r="B394" s="20"/>
      <c r="C394" s="20"/>
      <c r="D394" s="20"/>
      <c r="E394" s="20"/>
      <c r="F394" s="66"/>
      <c r="G394" s="20"/>
      <c r="H394" s="20"/>
      <c r="I394" s="20"/>
      <c r="J394" s="50"/>
      <c r="K394" s="5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19"/>
      <c r="AI394" s="20"/>
      <c r="AJ394" s="20"/>
      <c r="AK394" s="20"/>
      <c r="AL394" s="20"/>
      <c r="AM394" s="24"/>
      <c r="AN394" s="59"/>
      <c r="AO394" s="12"/>
      <c r="AP394" s="60"/>
    </row>
    <row r="395" spans="1:42" ht="15.6" x14ac:dyDescent="0.3">
      <c r="A395" s="23"/>
      <c r="B395" s="20"/>
      <c r="C395" s="20"/>
      <c r="D395" s="20"/>
      <c r="E395" s="20"/>
      <c r="F395" s="66"/>
      <c r="G395" s="20"/>
      <c r="H395" s="20"/>
      <c r="I395" s="20"/>
      <c r="J395" s="50"/>
      <c r="K395" s="5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19"/>
      <c r="AI395" s="20"/>
      <c r="AJ395" s="20"/>
      <c r="AK395" s="20"/>
      <c r="AL395" s="20"/>
      <c r="AM395" s="24"/>
      <c r="AN395" s="59"/>
      <c r="AO395" s="12"/>
      <c r="AP395" s="60"/>
    </row>
    <row r="396" spans="1:42" ht="15.6" x14ac:dyDescent="0.3">
      <c r="A396" s="23"/>
      <c r="B396" s="20"/>
      <c r="C396" s="20"/>
      <c r="D396" s="20"/>
      <c r="E396" s="20"/>
      <c r="F396" s="66"/>
      <c r="G396" s="20"/>
      <c r="H396" s="20"/>
      <c r="I396" s="20"/>
      <c r="J396" s="50"/>
      <c r="K396" s="5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19"/>
      <c r="AI396" s="20"/>
      <c r="AJ396" s="20"/>
      <c r="AK396" s="20"/>
      <c r="AL396" s="20"/>
      <c r="AM396" s="24"/>
      <c r="AN396" s="59"/>
      <c r="AO396" s="12"/>
      <c r="AP396" s="60"/>
    </row>
    <row r="397" spans="1:42" ht="15.6" x14ac:dyDescent="0.3">
      <c r="A397" s="23"/>
      <c r="B397" s="20"/>
      <c r="C397" s="20"/>
      <c r="D397" s="20"/>
      <c r="E397" s="20"/>
      <c r="F397" s="66"/>
      <c r="G397" s="20"/>
      <c r="H397" s="20"/>
      <c r="I397" s="20"/>
      <c r="J397" s="50"/>
      <c r="K397" s="5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19"/>
      <c r="AI397" s="20"/>
      <c r="AJ397" s="20"/>
      <c r="AK397" s="20"/>
      <c r="AL397" s="20"/>
      <c r="AM397" s="24"/>
      <c r="AN397" s="59"/>
      <c r="AO397" s="12"/>
      <c r="AP397" s="60"/>
    </row>
    <row r="398" spans="1:42" ht="15.6" x14ac:dyDescent="0.3">
      <c r="A398" s="23"/>
      <c r="B398" s="20"/>
      <c r="C398" s="20"/>
      <c r="D398" s="20"/>
      <c r="E398" s="20"/>
      <c r="F398" s="66"/>
      <c r="G398" s="20"/>
      <c r="H398" s="20"/>
      <c r="I398" s="20"/>
      <c r="J398" s="50"/>
      <c r="K398" s="5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19"/>
      <c r="AI398" s="20"/>
      <c r="AJ398" s="20"/>
      <c r="AK398" s="20"/>
      <c r="AL398" s="20"/>
      <c r="AM398" s="24"/>
      <c r="AN398" s="59"/>
      <c r="AO398" s="12"/>
      <c r="AP398" s="60"/>
    </row>
    <row r="399" spans="1:42" ht="15.6" x14ac:dyDescent="0.3">
      <c r="A399" s="23"/>
      <c r="B399" s="20"/>
      <c r="C399" s="20"/>
      <c r="D399" s="20"/>
      <c r="E399" s="20"/>
      <c r="F399" s="66"/>
      <c r="G399" s="20"/>
      <c r="H399" s="20"/>
      <c r="I399" s="20"/>
      <c r="J399" s="50"/>
      <c r="K399" s="5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19"/>
      <c r="AI399" s="20"/>
      <c r="AJ399" s="20"/>
      <c r="AK399" s="20"/>
      <c r="AL399" s="20"/>
      <c r="AM399" s="24"/>
      <c r="AN399" s="59"/>
      <c r="AO399" s="12"/>
      <c r="AP399" s="60"/>
    </row>
    <row r="400" spans="1:42" ht="15.6" x14ac:dyDescent="0.3">
      <c r="A400" s="23"/>
      <c r="B400" s="20"/>
      <c r="C400" s="20"/>
      <c r="D400" s="20"/>
      <c r="E400" s="20"/>
      <c r="F400" s="66"/>
      <c r="G400" s="20"/>
      <c r="H400" s="20"/>
      <c r="I400" s="20"/>
      <c r="J400" s="50"/>
      <c r="K400" s="5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19"/>
      <c r="AI400" s="20"/>
      <c r="AJ400" s="20"/>
      <c r="AK400" s="20"/>
      <c r="AL400" s="20"/>
      <c r="AM400" s="24"/>
      <c r="AN400" s="59"/>
      <c r="AO400" s="12"/>
      <c r="AP400" s="60"/>
    </row>
    <row r="401" spans="1:42" ht="15.6" x14ac:dyDescent="0.3">
      <c r="A401" s="23"/>
      <c r="B401" s="20"/>
      <c r="C401" s="20"/>
      <c r="D401" s="20"/>
      <c r="E401" s="20"/>
      <c r="F401" s="66"/>
      <c r="G401" s="20"/>
      <c r="H401" s="20"/>
      <c r="I401" s="20"/>
      <c r="J401" s="50"/>
      <c r="K401" s="5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19"/>
      <c r="AI401" s="20"/>
      <c r="AJ401" s="20"/>
      <c r="AK401" s="20"/>
      <c r="AL401" s="20"/>
      <c r="AM401" s="24"/>
      <c r="AN401" s="59"/>
      <c r="AO401" s="12"/>
      <c r="AP401" s="60"/>
    </row>
    <row r="402" spans="1:42" ht="15.6" x14ac:dyDescent="0.3">
      <c r="A402" s="23"/>
      <c r="B402" s="20"/>
      <c r="C402" s="20"/>
      <c r="D402" s="20"/>
      <c r="E402" s="20"/>
      <c r="F402" s="66"/>
      <c r="G402" s="20"/>
      <c r="H402" s="20"/>
      <c r="I402" s="20"/>
      <c r="J402" s="50"/>
      <c r="K402" s="5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19"/>
      <c r="AI402" s="20"/>
      <c r="AJ402" s="20"/>
      <c r="AK402" s="20"/>
      <c r="AL402" s="20"/>
      <c r="AM402" s="24"/>
      <c r="AN402" s="59"/>
      <c r="AO402" s="12"/>
      <c r="AP402" s="60"/>
    </row>
    <row r="403" spans="1:42" ht="15.6" x14ac:dyDescent="0.3">
      <c r="A403" s="23"/>
      <c r="B403" s="20"/>
      <c r="C403" s="20"/>
      <c r="D403" s="20"/>
      <c r="E403" s="20"/>
      <c r="F403" s="66"/>
      <c r="G403" s="20"/>
      <c r="H403" s="20"/>
      <c r="I403" s="20"/>
      <c r="J403" s="50"/>
      <c r="K403" s="5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19"/>
      <c r="AI403" s="20"/>
      <c r="AJ403" s="20"/>
      <c r="AK403" s="20"/>
      <c r="AL403" s="20"/>
      <c r="AM403" s="24"/>
      <c r="AN403" s="59"/>
      <c r="AO403" s="12"/>
      <c r="AP403" s="60"/>
    </row>
    <row r="404" spans="1:42" ht="15.6" x14ac:dyDescent="0.3">
      <c r="A404" s="23"/>
      <c r="B404" s="20"/>
      <c r="C404" s="20"/>
      <c r="D404" s="20"/>
      <c r="E404" s="20"/>
      <c r="F404" s="66"/>
      <c r="G404" s="20"/>
      <c r="H404" s="20"/>
      <c r="I404" s="20"/>
      <c r="J404" s="50"/>
      <c r="K404" s="5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19"/>
      <c r="AI404" s="20"/>
      <c r="AJ404" s="20"/>
      <c r="AK404" s="20"/>
      <c r="AL404" s="20"/>
      <c r="AM404" s="24"/>
      <c r="AN404" s="59"/>
      <c r="AO404" s="12"/>
      <c r="AP404" s="60"/>
    </row>
    <row r="405" spans="1:42" ht="15.6" x14ac:dyDescent="0.3">
      <c r="A405" s="23"/>
      <c r="B405" s="20"/>
      <c r="C405" s="20"/>
      <c r="D405" s="20"/>
      <c r="E405" s="20"/>
      <c r="F405" s="66"/>
      <c r="G405" s="20"/>
      <c r="H405" s="20"/>
      <c r="I405" s="20"/>
      <c r="J405" s="50"/>
      <c r="K405" s="5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19"/>
      <c r="AI405" s="20"/>
      <c r="AJ405" s="20"/>
      <c r="AK405" s="20"/>
      <c r="AL405" s="20"/>
      <c r="AM405" s="24"/>
      <c r="AN405" s="59"/>
      <c r="AO405" s="12"/>
      <c r="AP405" s="60"/>
    </row>
    <row r="406" spans="1:42" ht="15.6" x14ac:dyDescent="0.3">
      <c r="A406" s="23"/>
      <c r="B406" s="20"/>
      <c r="C406" s="20"/>
      <c r="D406" s="20"/>
      <c r="E406" s="20"/>
      <c r="F406" s="66"/>
      <c r="G406" s="20"/>
      <c r="H406" s="20"/>
      <c r="I406" s="20"/>
      <c r="J406" s="50"/>
      <c r="K406" s="5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19"/>
      <c r="AI406" s="20"/>
      <c r="AJ406" s="20"/>
      <c r="AK406" s="20"/>
      <c r="AL406" s="20"/>
      <c r="AM406" s="24"/>
      <c r="AN406" s="59"/>
      <c r="AO406" s="12"/>
      <c r="AP406" s="60"/>
    </row>
    <row r="407" spans="1:42" ht="15.6" x14ac:dyDescent="0.3">
      <c r="A407" s="23"/>
      <c r="B407" s="20"/>
      <c r="C407" s="20"/>
      <c r="D407" s="20"/>
      <c r="E407" s="20"/>
      <c r="F407" s="66"/>
      <c r="G407" s="20"/>
      <c r="H407" s="20"/>
      <c r="I407" s="20"/>
      <c r="J407" s="50"/>
      <c r="K407" s="5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19"/>
      <c r="AI407" s="20"/>
      <c r="AJ407" s="20"/>
      <c r="AK407" s="20"/>
      <c r="AL407" s="20"/>
      <c r="AM407" s="24"/>
      <c r="AN407" s="59"/>
      <c r="AO407" s="12"/>
      <c r="AP407" s="60"/>
    </row>
    <row r="408" spans="1:42" ht="15.6" x14ac:dyDescent="0.3">
      <c r="A408" s="23"/>
      <c r="B408" s="20"/>
      <c r="C408" s="20"/>
      <c r="D408" s="20"/>
      <c r="E408" s="20"/>
      <c r="F408" s="66"/>
      <c r="G408" s="20"/>
      <c r="H408" s="20"/>
      <c r="I408" s="20"/>
      <c r="J408" s="50"/>
      <c r="K408" s="5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19"/>
      <c r="AI408" s="20"/>
      <c r="AJ408" s="20"/>
      <c r="AK408" s="20"/>
      <c r="AL408" s="20"/>
      <c r="AM408" s="24"/>
      <c r="AN408" s="59"/>
      <c r="AO408" s="12"/>
      <c r="AP408" s="60"/>
    </row>
    <row r="409" spans="1:42" ht="15.6" x14ac:dyDescent="0.3">
      <c r="A409" s="23"/>
      <c r="B409" s="20"/>
      <c r="C409" s="20"/>
      <c r="D409" s="20"/>
      <c r="E409" s="20"/>
      <c r="F409" s="66"/>
      <c r="G409" s="20"/>
      <c r="H409" s="20"/>
      <c r="I409" s="20"/>
      <c r="J409" s="50"/>
      <c r="K409" s="5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19"/>
      <c r="AI409" s="20"/>
      <c r="AJ409" s="20"/>
      <c r="AK409" s="20"/>
      <c r="AL409" s="20"/>
      <c r="AM409" s="24"/>
      <c r="AN409" s="59"/>
      <c r="AO409" s="12"/>
      <c r="AP409" s="60"/>
    </row>
    <row r="410" spans="1:42" ht="15.6" x14ac:dyDescent="0.3">
      <c r="A410" s="23"/>
      <c r="B410" s="20"/>
      <c r="C410" s="20"/>
      <c r="D410" s="20"/>
      <c r="E410" s="20"/>
      <c r="F410" s="66"/>
      <c r="G410" s="20"/>
      <c r="H410" s="20"/>
      <c r="I410" s="20"/>
      <c r="J410" s="50"/>
      <c r="K410" s="5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19"/>
      <c r="AI410" s="20"/>
      <c r="AJ410" s="20"/>
      <c r="AK410" s="20"/>
      <c r="AL410" s="20"/>
      <c r="AM410" s="24"/>
      <c r="AN410" s="59"/>
      <c r="AO410" s="12"/>
      <c r="AP410" s="60"/>
    </row>
    <row r="411" spans="1:42" ht="15.6" x14ac:dyDescent="0.3">
      <c r="A411" s="23"/>
      <c r="B411" s="20"/>
      <c r="C411" s="20"/>
      <c r="D411" s="20"/>
      <c r="E411" s="20"/>
      <c r="F411" s="66"/>
      <c r="G411" s="20"/>
      <c r="H411" s="20"/>
      <c r="I411" s="20"/>
      <c r="J411" s="50"/>
      <c r="K411" s="5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19"/>
      <c r="AI411" s="20"/>
      <c r="AJ411" s="20"/>
      <c r="AK411" s="20"/>
      <c r="AL411" s="20"/>
      <c r="AM411" s="24"/>
      <c r="AN411" s="59"/>
      <c r="AO411" s="12"/>
      <c r="AP411" s="60"/>
    </row>
    <row r="412" spans="1:42" ht="15.6" x14ac:dyDescent="0.3">
      <c r="A412" s="23"/>
      <c r="B412" s="20"/>
      <c r="C412" s="20"/>
      <c r="D412" s="20"/>
      <c r="E412" s="20"/>
      <c r="F412" s="66"/>
      <c r="G412" s="20"/>
      <c r="H412" s="20"/>
      <c r="I412" s="20"/>
      <c r="J412" s="50"/>
      <c r="K412" s="5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19"/>
      <c r="AI412" s="20"/>
      <c r="AJ412" s="20"/>
      <c r="AK412" s="20"/>
      <c r="AL412" s="20"/>
      <c r="AM412" s="24"/>
      <c r="AN412" s="59"/>
      <c r="AO412" s="12"/>
      <c r="AP412" s="60"/>
    </row>
    <row r="413" spans="1:42" ht="15.6" x14ac:dyDescent="0.3">
      <c r="A413" s="23"/>
      <c r="B413" s="20"/>
      <c r="C413" s="20"/>
      <c r="D413" s="20"/>
      <c r="E413" s="20"/>
      <c r="F413" s="66"/>
      <c r="G413" s="20"/>
      <c r="H413" s="20"/>
      <c r="I413" s="20"/>
      <c r="J413" s="50"/>
      <c r="K413" s="5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19"/>
      <c r="AI413" s="20"/>
      <c r="AJ413" s="20"/>
      <c r="AK413" s="20"/>
      <c r="AL413" s="20"/>
      <c r="AM413" s="24"/>
      <c r="AN413" s="59"/>
      <c r="AO413" s="12"/>
      <c r="AP413" s="60"/>
    </row>
    <row r="414" spans="1:42" ht="15.6" x14ac:dyDescent="0.3">
      <c r="A414" s="23"/>
      <c r="B414" s="20"/>
      <c r="C414" s="20"/>
      <c r="D414" s="20"/>
      <c r="E414" s="20"/>
      <c r="F414" s="66"/>
      <c r="G414" s="20"/>
      <c r="H414" s="20"/>
      <c r="I414" s="20"/>
      <c r="J414" s="50"/>
      <c r="K414" s="5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19"/>
      <c r="AI414" s="20"/>
      <c r="AJ414" s="20"/>
      <c r="AK414" s="20"/>
      <c r="AL414" s="20"/>
      <c r="AM414" s="24"/>
      <c r="AN414" s="59"/>
      <c r="AO414" s="12"/>
      <c r="AP414" s="60"/>
    </row>
    <row r="415" spans="1:42" ht="15.6" x14ac:dyDescent="0.3">
      <c r="A415" s="23"/>
      <c r="B415" s="20"/>
      <c r="C415" s="20"/>
      <c r="D415" s="20"/>
      <c r="E415" s="20"/>
      <c r="F415" s="66"/>
      <c r="G415" s="20"/>
      <c r="H415" s="20"/>
      <c r="I415" s="20"/>
      <c r="J415" s="50"/>
      <c r="K415" s="5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19"/>
      <c r="AI415" s="20"/>
      <c r="AJ415" s="20"/>
      <c r="AK415" s="20"/>
      <c r="AL415" s="20"/>
      <c r="AM415" s="24"/>
      <c r="AN415" s="59"/>
      <c r="AO415" s="12"/>
      <c r="AP415" s="60"/>
    </row>
    <row r="416" spans="1:42" ht="15.6" x14ac:dyDescent="0.3">
      <c r="A416" s="23"/>
      <c r="B416" s="20"/>
      <c r="C416" s="20"/>
      <c r="D416" s="20"/>
      <c r="E416" s="20"/>
      <c r="F416" s="66"/>
      <c r="G416" s="20"/>
      <c r="H416" s="20"/>
      <c r="I416" s="20"/>
      <c r="J416" s="50"/>
      <c r="K416" s="5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19"/>
      <c r="AI416" s="20"/>
      <c r="AJ416" s="20"/>
      <c r="AK416" s="20"/>
      <c r="AL416" s="20"/>
      <c r="AM416" s="24"/>
      <c r="AN416" s="59"/>
      <c r="AO416" s="12"/>
      <c r="AP416" s="60"/>
    </row>
    <row r="417" spans="1:42" ht="15.6" x14ac:dyDescent="0.3">
      <c r="A417" s="23"/>
      <c r="B417" s="20"/>
      <c r="C417" s="20"/>
      <c r="D417" s="20"/>
      <c r="E417" s="20"/>
      <c r="F417" s="66"/>
      <c r="G417" s="20"/>
      <c r="H417" s="20"/>
      <c r="I417" s="20"/>
      <c r="J417" s="50"/>
      <c r="K417" s="5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19"/>
      <c r="AI417" s="20"/>
      <c r="AJ417" s="20"/>
      <c r="AK417" s="20"/>
      <c r="AL417" s="20"/>
      <c r="AM417" s="24"/>
      <c r="AN417" s="59"/>
      <c r="AO417" s="12"/>
      <c r="AP417" s="60"/>
    </row>
    <row r="418" spans="1:42" ht="15.6" x14ac:dyDescent="0.3">
      <c r="A418" s="23"/>
      <c r="B418" s="20"/>
      <c r="C418" s="20"/>
      <c r="D418" s="20"/>
      <c r="E418" s="20"/>
      <c r="F418" s="66"/>
      <c r="G418" s="20"/>
      <c r="H418" s="20"/>
      <c r="I418" s="20"/>
      <c r="J418" s="50"/>
      <c r="K418" s="5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19"/>
      <c r="AI418" s="20"/>
      <c r="AJ418" s="20"/>
      <c r="AK418" s="20"/>
      <c r="AL418" s="20"/>
      <c r="AM418" s="24"/>
      <c r="AN418" s="59"/>
      <c r="AO418" s="12"/>
      <c r="AP418" s="60"/>
    </row>
    <row r="419" spans="1:42" ht="15.6" x14ac:dyDescent="0.3">
      <c r="A419" s="23"/>
      <c r="B419" s="20"/>
      <c r="C419" s="20"/>
      <c r="D419" s="20"/>
      <c r="E419" s="20"/>
      <c r="F419" s="66"/>
      <c r="G419" s="20"/>
      <c r="H419" s="20"/>
      <c r="I419" s="20"/>
      <c r="J419" s="50"/>
      <c r="K419" s="5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19"/>
      <c r="AI419" s="20"/>
      <c r="AJ419" s="20"/>
      <c r="AK419" s="20"/>
      <c r="AL419" s="20"/>
      <c r="AM419" s="24"/>
      <c r="AN419" s="59"/>
      <c r="AO419" s="12"/>
      <c r="AP419" s="60"/>
    </row>
    <row r="420" spans="1:42" ht="15.6" x14ac:dyDescent="0.3">
      <c r="A420" s="23"/>
      <c r="B420" s="20"/>
      <c r="C420" s="20"/>
      <c r="D420" s="20"/>
      <c r="E420" s="20"/>
      <c r="F420" s="66"/>
      <c r="G420" s="20"/>
      <c r="H420" s="20"/>
      <c r="I420" s="20"/>
      <c r="J420" s="50"/>
      <c r="K420" s="5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19"/>
      <c r="AI420" s="20"/>
      <c r="AJ420" s="20"/>
      <c r="AK420" s="20"/>
      <c r="AL420" s="20"/>
      <c r="AM420" s="24"/>
      <c r="AN420" s="59"/>
      <c r="AO420" s="12"/>
      <c r="AP420" s="60"/>
    </row>
    <row r="421" spans="1:42" ht="15.6" x14ac:dyDescent="0.3">
      <c r="A421" s="23"/>
      <c r="B421" s="20"/>
      <c r="C421" s="20"/>
      <c r="D421" s="20"/>
      <c r="E421" s="20"/>
      <c r="F421" s="66"/>
      <c r="G421" s="20"/>
      <c r="H421" s="20"/>
      <c r="I421" s="20"/>
      <c r="J421" s="50"/>
      <c r="K421" s="5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19"/>
      <c r="AI421" s="20"/>
      <c r="AJ421" s="20"/>
      <c r="AK421" s="20"/>
      <c r="AL421" s="20"/>
      <c r="AM421" s="24"/>
      <c r="AN421" s="59"/>
      <c r="AO421" s="12"/>
      <c r="AP421" s="60"/>
    </row>
    <row r="422" spans="1:42" ht="15.6" x14ac:dyDescent="0.3">
      <c r="A422" s="23"/>
      <c r="B422" s="20"/>
      <c r="C422" s="20"/>
      <c r="D422" s="20"/>
      <c r="E422" s="20"/>
      <c r="F422" s="66"/>
      <c r="G422" s="20"/>
      <c r="H422" s="20"/>
      <c r="I422" s="20"/>
      <c r="J422" s="50"/>
      <c r="K422" s="5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19"/>
      <c r="AI422" s="20"/>
      <c r="AJ422" s="20"/>
      <c r="AK422" s="20"/>
      <c r="AL422" s="20"/>
      <c r="AM422" s="24"/>
      <c r="AN422" s="59"/>
      <c r="AO422" s="12"/>
      <c r="AP422" s="60"/>
    </row>
    <row r="423" spans="1:42" ht="15.6" x14ac:dyDescent="0.3">
      <c r="A423" s="23"/>
      <c r="B423" s="20"/>
      <c r="C423" s="20"/>
      <c r="D423" s="20"/>
      <c r="E423" s="20"/>
      <c r="F423" s="66"/>
      <c r="G423" s="20"/>
      <c r="H423" s="20"/>
      <c r="I423" s="20"/>
      <c r="J423" s="50"/>
      <c r="K423" s="5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19"/>
      <c r="AI423" s="20"/>
      <c r="AJ423" s="20"/>
      <c r="AK423" s="20"/>
      <c r="AL423" s="20"/>
      <c r="AM423" s="24"/>
      <c r="AN423" s="59"/>
      <c r="AO423" s="12"/>
      <c r="AP423" s="60"/>
    </row>
    <row r="424" spans="1:42" ht="15.6" x14ac:dyDescent="0.3">
      <c r="A424" s="23"/>
      <c r="B424" s="20"/>
      <c r="C424" s="20"/>
      <c r="D424" s="20"/>
      <c r="E424" s="20"/>
      <c r="F424" s="66"/>
      <c r="G424" s="20"/>
      <c r="H424" s="20"/>
      <c r="I424" s="20"/>
      <c r="J424" s="50"/>
      <c r="K424" s="5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19"/>
      <c r="AI424" s="20"/>
      <c r="AJ424" s="20"/>
      <c r="AK424" s="20"/>
      <c r="AL424" s="20"/>
      <c r="AM424" s="24"/>
      <c r="AN424" s="59"/>
      <c r="AO424" s="12"/>
      <c r="AP424" s="60"/>
    </row>
    <row r="425" spans="1:42" ht="15.6" x14ac:dyDescent="0.3">
      <c r="A425" s="23"/>
      <c r="B425" s="20"/>
      <c r="C425" s="20"/>
      <c r="D425" s="20"/>
      <c r="E425" s="20"/>
      <c r="F425" s="66"/>
      <c r="G425" s="20"/>
      <c r="H425" s="20"/>
      <c r="I425" s="20"/>
      <c r="J425" s="50"/>
      <c r="K425" s="5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19"/>
      <c r="AI425" s="20"/>
      <c r="AJ425" s="20"/>
      <c r="AK425" s="20"/>
      <c r="AL425" s="20"/>
      <c r="AM425" s="24"/>
      <c r="AN425" s="59"/>
      <c r="AO425" s="12"/>
      <c r="AP425" s="60"/>
    </row>
    <row r="426" spans="1:42" ht="15.6" x14ac:dyDescent="0.3">
      <c r="A426" s="23"/>
      <c r="B426" s="20"/>
      <c r="C426" s="20"/>
      <c r="D426" s="20"/>
      <c r="E426" s="20"/>
      <c r="F426" s="66"/>
      <c r="G426" s="20"/>
      <c r="H426" s="20"/>
      <c r="I426" s="20"/>
      <c r="J426" s="50"/>
      <c r="K426" s="5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19"/>
      <c r="AI426" s="20"/>
      <c r="AJ426" s="20"/>
      <c r="AK426" s="20"/>
      <c r="AL426" s="20"/>
      <c r="AM426" s="24"/>
      <c r="AN426" s="59"/>
      <c r="AO426" s="12"/>
      <c r="AP426" s="60"/>
    </row>
    <row r="427" spans="1:42" ht="15.6" x14ac:dyDescent="0.3">
      <c r="A427" s="23"/>
      <c r="B427" s="20"/>
      <c r="C427" s="20"/>
      <c r="D427" s="20"/>
      <c r="E427" s="20"/>
      <c r="F427" s="66"/>
      <c r="G427" s="20"/>
      <c r="H427" s="20"/>
      <c r="I427" s="20"/>
      <c r="J427" s="50"/>
      <c r="K427" s="5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19"/>
      <c r="AI427" s="20"/>
      <c r="AJ427" s="20"/>
      <c r="AK427" s="20"/>
      <c r="AL427" s="20"/>
      <c r="AM427" s="24"/>
      <c r="AN427" s="59"/>
      <c r="AO427" s="12"/>
      <c r="AP427" s="60"/>
    </row>
    <row r="428" spans="1:42" ht="15.6" x14ac:dyDescent="0.3">
      <c r="A428" s="23"/>
      <c r="B428" s="20"/>
      <c r="C428" s="20"/>
      <c r="D428" s="20"/>
      <c r="E428" s="20"/>
      <c r="F428" s="66"/>
      <c r="G428" s="20"/>
      <c r="H428" s="20"/>
      <c r="I428" s="20"/>
      <c r="J428" s="50"/>
      <c r="K428" s="5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19"/>
      <c r="AI428" s="20"/>
      <c r="AJ428" s="20"/>
      <c r="AK428" s="20"/>
      <c r="AL428" s="20"/>
      <c r="AM428" s="24"/>
      <c r="AN428" s="59"/>
      <c r="AO428" s="12"/>
      <c r="AP428" s="60"/>
    </row>
    <row r="429" spans="1:42" ht="15.6" x14ac:dyDescent="0.3">
      <c r="A429" s="23"/>
      <c r="B429" s="20"/>
      <c r="C429" s="20"/>
      <c r="D429" s="20"/>
      <c r="E429" s="20"/>
      <c r="F429" s="66"/>
      <c r="G429" s="20"/>
      <c r="H429" s="20"/>
      <c r="I429" s="20"/>
      <c r="J429" s="50"/>
      <c r="K429" s="5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19"/>
      <c r="AI429" s="20"/>
      <c r="AJ429" s="20"/>
      <c r="AK429" s="20"/>
      <c r="AL429" s="20"/>
      <c r="AM429" s="24"/>
      <c r="AN429" s="59"/>
      <c r="AO429" s="12"/>
      <c r="AP429" s="60"/>
    </row>
    <row r="430" spans="1:42" ht="15.6" x14ac:dyDescent="0.3">
      <c r="A430" s="23"/>
      <c r="B430" s="20"/>
      <c r="C430" s="20"/>
      <c r="D430" s="20"/>
      <c r="E430" s="20"/>
      <c r="F430" s="66"/>
      <c r="G430" s="20"/>
      <c r="H430" s="20"/>
      <c r="I430" s="20"/>
      <c r="J430" s="50"/>
      <c r="K430" s="5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19"/>
      <c r="AI430" s="20"/>
      <c r="AJ430" s="20"/>
      <c r="AK430" s="20"/>
      <c r="AL430" s="20"/>
      <c r="AM430" s="24"/>
      <c r="AN430" s="59"/>
      <c r="AO430" s="12"/>
      <c r="AP430" s="60"/>
    </row>
    <row r="431" spans="1:42" ht="15.6" x14ac:dyDescent="0.3">
      <c r="A431" s="23"/>
      <c r="B431" s="20"/>
      <c r="C431" s="20"/>
      <c r="D431" s="20"/>
      <c r="E431" s="20"/>
      <c r="F431" s="66"/>
      <c r="G431" s="20"/>
      <c r="H431" s="20"/>
      <c r="I431" s="20"/>
      <c r="J431" s="50"/>
      <c r="K431" s="5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19"/>
      <c r="AI431" s="20"/>
      <c r="AJ431" s="20"/>
      <c r="AK431" s="20"/>
      <c r="AL431" s="20"/>
      <c r="AM431" s="24"/>
      <c r="AN431" s="59"/>
      <c r="AO431" s="12"/>
      <c r="AP431" s="60"/>
    </row>
    <row r="432" spans="1:42" ht="15.6" x14ac:dyDescent="0.3">
      <c r="A432" s="23"/>
      <c r="B432" s="20"/>
      <c r="C432" s="20"/>
      <c r="D432" s="20"/>
      <c r="E432" s="20"/>
      <c r="F432" s="66"/>
      <c r="G432" s="20"/>
      <c r="H432" s="20"/>
      <c r="I432" s="20"/>
      <c r="J432" s="50"/>
      <c r="K432" s="5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19"/>
      <c r="AI432" s="20"/>
      <c r="AJ432" s="20"/>
      <c r="AK432" s="20"/>
      <c r="AL432" s="20"/>
      <c r="AM432" s="24"/>
      <c r="AN432" s="59"/>
      <c r="AO432" s="12"/>
      <c r="AP432" s="60"/>
    </row>
    <row r="433" spans="1:42" ht="15.6" x14ac:dyDescent="0.3">
      <c r="A433" s="23"/>
      <c r="B433" s="20"/>
      <c r="C433" s="20"/>
      <c r="D433" s="20"/>
      <c r="E433" s="20"/>
      <c r="F433" s="66"/>
      <c r="G433" s="20"/>
      <c r="H433" s="20"/>
      <c r="I433" s="20"/>
      <c r="J433" s="50"/>
      <c r="K433" s="5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19"/>
      <c r="AI433" s="20"/>
      <c r="AJ433" s="20"/>
      <c r="AK433" s="20"/>
      <c r="AL433" s="20"/>
      <c r="AM433" s="24"/>
      <c r="AN433" s="59"/>
      <c r="AO433" s="12"/>
      <c r="AP433" s="60"/>
    </row>
    <row r="434" spans="1:42" ht="15.6" x14ac:dyDescent="0.3">
      <c r="A434" s="23"/>
      <c r="B434" s="20"/>
      <c r="C434" s="20"/>
      <c r="D434" s="20"/>
      <c r="E434" s="20"/>
      <c r="F434" s="66"/>
      <c r="G434" s="20"/>
      <c r="H434" s="20"/>
      <c r="I434" s="20"/>
      <c r="J434" s="50"/>
      <c r="K434" s="5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19"/>
      <c r="AI434" s="20"/>
      <c r="AJ434" s="20"/>
      <c r="AK434" s="20"/>
      <c r="AL434" s="20"/>
      <c r="AM434" s="24"/>
      <c r="AN434" s="59"/>
      <c r="AO434" s="12"/>
      <c r="AP434" s="60"/>
    </row>
    <row r="435" spans="1:42" ht="15.6" x14ac:dyDescent="0.3">
      <c r="A435" s="23"/>
      <c r="B435" s="20"/>
      <c r="C435" s="20"/>
      <c r="D435" s="20"/>
      <c r="E435" s="20"/>
      <c r="F435" s="66"/>
      <c r="G435" s="20"/>
      <c r="H435" s="20"/>
      <c r="I435" s="20"/>
      <c r="J435" s="50"/>
      <c r="K435" s="5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19"/>
      <c r="AI435" s="20"/>
      <c r="AJ435" s="20"/>
      <c r="AK435" s="20"/>
      <c r="AL435" s="20"/>
      <c r="AM435" s="24"/>
      <c r="AN435" s="59"/>
      <c r="AO435" s="12"/>
      <c r="AP435" s="60"/>
    </row>
    <row r="436" spans="1:42" ht="15.6" x14ac:dyDescent="0.3">
      <c r="A436" s="23"/>
      <c r="B436" s="20"/>
      <c r="C436" s="20"/>
      <c r="D436" s="20"/>
      <c r="E436" s="20"/>
      <c r="F436" s="66"/>
      <c r="G436" s="20"/>
      <c r="H436" s="20"/>
      <c r="I436" s="20"/>
      <c r="J436" s="50"/>
      <c r="K436" s="5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19"/>
      <c r="AI436" s="20"/>
      <c r="AJ436" s="20"/>
      <c r="AK436" s="20"/>
      <c r="AL436" s="20"/>
      <c r="AM436" s="24"/>
      <c r="AN436" s="59"/>
      <c r="AO436" s="12"/>
      <c r="AP436" s="60"/>
    </row>
    <row r="437" spans="1:42" ht="15.6" x14ac:dyDescent="0.3">
      <c r="A437" s="23"/>
      <c r="B437" s="20"/>
      <c r="C437" s="20"/>
      <c r="D437" s="20"/>
      <c r="E437" s="20"/>
      <c r="F437" s="66"/>
      <c r="G437" s="20"/>
      <c r="H437" s="20"/>
      <c r="I437" s="20"/>
      <c r="J437" s="50"/>
      <c r="K437" s="5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19"/>
      <c r="AI437" s="20"/>
      <c r="AJ437" s="20"/>
      <c r="AK437" s="20"/>
      <c r="AL437" s="20"/>
      <c r="AM437" s="24"/>
      <c r="AN437" s="59"/>
      <c r="AO437" s="12"/>
      <c r="AP437" s="60"/>
    </row>
    <row r="438" spans="1:42" ht="15.6" x14ac:dyDescent="0.3">
      <c r="A438" s="23"/>
      <c r="B438" s="20"/>
      <c r="C438" s="20"/>
      <c r="D438" s="20"/>
      <c r="E438" s="20"/>
      <c r="F438" s="66"/>
      <c r="G438" s="20"/>
      <c r="H438" s="20"/>
      <c r="I438" s="20"/>
      <c r="J438" s="50"/>
      <c r="K438" s="5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19"/>
      <c r="AI438" s="20"/>
      <c r="AJ438" s="20"/>
      <c r="AK438" s="20"/>
      <c r="AL438" s="20"/>
      <c r="AM438" s="24"/>
      <c r="AN438" s="59"/>
      <c r="AO438" s="12"/>
      <c r="AP438" s="60"/>
    </row>
    <row r="439" spans="1:42" ht="15.6" x14ac:dyDescent="0.3">
      <c r="A439" s="23"/>
      <c r="B439" s="20"/>
      <c r="C439" s="20"/>
      <c r="D439" s="20"/>
      <c r="E439" s="20"/>
      <c r="F439" s="66"/>
      <c r="G439" s="20"/>
      <c r="H439" s="20"/>
      <c r="I439" s="20"/>
      <c r="J439" s="50"/>
      <c r="K439" s="5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19"/>
      <c r="AI439" s="20"/>
      <c r="AJ439" s="20"/>
      <c r="AK439" s="20"/>
      <c r="AL439" s="20"/>
      <c r="AM439" s="24"/>
      <c r="AN439" s="59"/>
      <c r="AO439" s="12"/>
      <c r="AP439" s="60"/>
    </row>
    <row r="440" spans="1:42" ht="15.6" x14ac:dyDescent="0.3">
      <c r="A440" s="23"/>
      <c r="B440" s="20"/>
      <c r="C440" s="20"/>
      <c r="D440" s="20"/>
      <c r="E440" s="20"/>
      <c r="F440" s="66"/>
      <c r="G440" s="20"/>
      <c r="H440" s="20"/>
      <c r="I440" s="20"/>
      <c r="J440" s="50"/>
      <c r="K440" s="5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19"/>
      <c r="AI440" s="20"/>
      <c r="AJ440" s="20"/>
      <c r="AK440" s="20"/>
      <c r="AL440" s="20"/>
      <c r="AM440" s="24"/>
      <c r="AN440" s="59"/>
      <c r="AO440" s="12"/>
      <c r="AP440" s="60"/>
    </row>
    <row r="441" spans="1:42" ht="15.6" x14ac:dyDescent="0.3">
      <c r="A441" s="23"/>
      <c r="B441" s="20"/>
      <c r="C441" s="20"/>
      <c r="D441" s="20"/>
      <c r="E441" s="20"/>
      <c r="F441" s="66"/>
      <c r="G441" s="20"/>
      <c r="H441" s="20"/>
      <c r="I441" s="20"/>
      <c r="J441" s="50"/>
      <c r="K441" s="5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19"/>
      <c r="AI441" s="20"/>
      <c r="AJ441" s="20"/>
      <c r="AK441" s="20"/>
      <c r="AL441" s="20"/>
      <c r="AM441" s="24"/>
      <c r="AN441" s="59"/>
      <c r="AO441" s="12"/>
      <c r="AP441" s="60"/>
    </row>
    <row r="442" spans="1:42" ht="15.6" x14ac:dyDescent="0.3">
      <c r="A442" s="23"/>
      <c r="B442" s="20"/>
      <c r="C442" s="20"/>
      <c r="D442" s="20"/>
      <c r="E442" s="20"/>
      <c r="F442" s="66"/>
      <c r="G442" s="20"/>
      <c r="H442" s="20"/>
      <c r="I442" s="20"/>
      <c r="J442" s="50"/>
      <c r="K442" s="5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19"/>
      <c r="AI442" s="20"/>
      <c r="AJ442" s="20"/>
      <c r="AK442" s="20"/>
      <c r="AL442" s="20"/>
      <c r="AM442" s="24"/>
      <c r="AN442" s="59"/>
      <c r="AO442" s="12"/>
      <c r="AP442" s="60"/>
    </row>
    <row r="443" spans="1:42" ht="15.6" x14ac:dyDescent="0.3">
      <c r="A443" s="23"/>
      <c r="B443" s="20"/>
      <c r="C443" s="20"/>
      <c r="D443" s="20"/>
      <c r="E443" s="20"/>
      <c r="F443" s="66"/>
      <c r="G443" s="20"/>
      <c r="H443" s="20"/>
      <c r="I443" s="20"/>
      <c r="J443" s="50"/>
      <c r="K443" s="5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19"/>
      <c r="AI443" s="20"/>
      <c r="AJ443" s="20"/>
      <c r="AK443" s="20"/>
      <c r="AL443" s="20"/>
      <c r="AM443" s="24"/>
      <c r="AN443" s="59"/>
      <c r="AO443" s="12"/>
      <c r="AP443" s="60"/>
    </row>
    <row r="444" spans="1:42" ht="15.6" x14ac:dyDescent="0.3">
      <c r="A444" s="23"/>
      <c r="B444" s="20"/>
      <c r="C444" s="20"/>
      <c r="D444" s="20"/>
      <c r="E444" s="20"/>
      <c r="F444" s="66"/>
      <c r="G444" s="20"/>
      <c r="H444" s="20"/>
      <c r="I444" s="20"/>
      <c r="J444" s="50"/>
      <c r="K444" s="5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19"/>
      <c r="AI444" s="20"/>
      <c r="AJ444" s="20"/>
      <c r="AK444" s="20"/>
      <c r="AL444" s="20"/>
      <c r="AM444" s="24"/>
      <c r="AN444" s="59"/>
      <c r="AO444" s="12"/>
      <c r="AP444" s="60"/>
    </row>
    <row r="445" spans="1:42" ht="15.6" x14ac:dyDescent="0.3">
      <c r="A445" s="23"/>
      <c r="B445" s="20"/>
      <c r="C445" s="20"/>
      <c r="D445" s="20"/>
      <c r="E445" s="20"/>
      <c r="F445" s="66"/>
      <c r="G445" s="20"/>
      <c r="H445" s="20"/>
      <c r="I445" s="20"/>
      <c r="J445" s="50"/>
      <c r="K445" s="5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19"/>
      <c r="AI445" s="20"/>
      <c r="AJ445" s="20"/>
      <c r="AK445" s="20"/>
      <c r="AL445" s="20"/>
      <c r="AM445" s="24"/>
      <c r="AN445" s="59"/>
      <c r="AO445" s="12"/>
      <c r="AP445" s="60"/>
    </row>
    <row r="446" spans="1:42" ht="15.6" x14ac:dyDescent="0.3">
      <c r="A446" s="23"/>
      <c r="B446" s="20"/>
      <c r="C446" s="20"/>
      <c r="D446" s="20"/>
      <c r="E446" s="20"/>
      <c r="F446" s="66"/>
      <c r="G446" s="20"/>
      <c r="H446" s="20"/>
      <c r="I446" s="20"/>
      <c r="J446" s="50"/>
      <c r="K446" s="5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19"/>
      <c r="AI446" s="20"/>
      <c r="AJ446" s="20"/>
      <c r="AK446" s="20"/>
      <c r="AL446" s="20"/>
      <c r="AM446" s="24"/>
      <c r="AN446" s="59"/>
      <c r="AO446" s="12"/>
      <c r="AP446" s="60"/>
    </row>
    <row r="447" spans="1:42" ht="15.6" x14ac:dyDescent="0.3">
      <c r="A447" s="23"/>
      <c r="B447" s="20"/>
      <c r="C447" s="20"/>
      <c r="D447" s="20"/>
      <c r="E447" s="20"/>
      <c r="F447" s="66"/>
      <c r="G447" s="20"/>
      <c r="H447" s="20"/>
      <c r="I447" s="20"/>
      <c r="J447" s="50"/>
      <c r="K447" s="5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19"/>
      <c r="AI447" s="20"/>
      <c r="AJ447" s="20"/>
      <c r="AK447" s="20"/>
      <c r="AL447" s="20"/>
      <c r="AM447" s="24"/>
      <c r="AN447" s="59"/>
      <c r="AO447" s="12"/>
      <c r="AP447" s="60"/>
    </row>
    <row r="448" spans="1:42" ht="15.6" x14ac:dyDescent="0.3">
      <c r="A448" s="23"/>
      <c r="B448" s="20"/>
      <c r="C448" s="20"/>
      <c r="D448" s="20"/>
      <c r="E448" s="20"/>
      <c r="F448" s="66"/>
      <c r="G448" s="20"/>
      <c r="H448" s="20"/>
      <c r="I448" s="20"/>
      <c r="J448" s="50"/>
      <c r="K448" s="5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19"/>
      <c r="AI448" s="20"/>
      <c r="AJ448" s="20"/>
      <c r="AK448" s="20"/>
      <c r="AL448" s="20"/>
      <c r="AM448" s="24"/>
      <c r="AN448" s="59"/>
      <c r="AO448" s="12"/>
      <c r="AP448" s="60"/>
    </row>
    <row r="449" spans="1:42" ht="15.6" x14ac:dyDescent="0.3">
      <c r="A449" s="23"/>
      <c r="B449" s="20"/>
      <c r="C449" s="20"/>
      <c r="D449" s="20"/>
      <c r="E449" s="20"/>
      <c r="F449" s="66"/>
      <c r="G449" s="20"/>
      <c r="H449" s="20"/>
      <c r="I449" s="20"/>
      <c r="J449" s="50"/>
      <c r="K449" s="5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19"/>
      <c r="AI449" s="20"/>
      <c r="AJ449" s="20"/>
      <c r="AK449" s="20"/>
      <c r="AL449" s="20"/>
      <c r="AM449" s="24"/>
      <c r="AN449" s="59"/>
      <c r="AO449" s="12"/>
      <c r="AP449" s="60"/>
    </row>
    <row r="450" spans="1:42" ht="15.6" x14ac:dyDescent="0.3">
      <c r="A450" s="23"/>
      <c r="B450" s="20"/>
      <c r="C450" s="20"/>
      <c r="D450" s="20"/>
      <c r="E450" s="20"/>
      <c r="F450" s="66"/>
      <c r="G450" s="20"/>
      <c r="H450" s="20"/>
      <c r="I450" s="20"/>
      <c r="J450" s="50"/>
      <c r="K450" s="5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19"/>
      <c r="AI450" s="20"/>
      <c r="AJ450" s="20"/>
      <c r="AK450" s="20"/>
      <c r="AL450" s="20"/>
      <c r="AM450" s="24"/>
      <c r="AN450" s="59"/>
      <c r="AO450" s="12"/>
      <c r="AP450" s="60"/>
    </row>
    <row r="451" spans="1:42" ht="15.6" x14ac:dyDescent="0.3">
      <c r="A451" s="23"/>
      <c r="B451" s="20"/>
      <c r="C451" s="20"/>
      <c r="D451" s="20"/>
      <c r="E451" s="20"/>
      <c r="F451" s="66"/>
      <c r="G451" s="20"/>
      <c r="H451" s="20"/>
      <c r="I451" s="20"/>
      <c r="J451" s="50"/>
      <c r="K451" s="5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19"/>
      <c r="AI451" s="20"/>
      <c r="AJ451" s="20"/>
      <c r="AK451" s="20"/>
      <c r="AL451" s="20"/>
      <c r="AM451" s="24"/>
      <c r="AN451" s="59"/>
      <c r="AO451" s="12"/>
      <c r="AP451" s="60"/>
    </row>
    <row r="452" spans="1:42" ht="15.6" x14ac:dyDescent="0.3">
      <c r="A452" s="23"/>
      <c r="B452" s="20"/>
      <c r="C452" s="20"/>
      <c r="D452" s="20"/>
      <c r="E452" s="20"/>
      <c r="F452" s="66"/>
      <c r="G452" s="20"/>
      <c r="H452" s="20"/>
      <c r="I452" s="20"/>
      <c r="J452" s="50"/>
      <c r="K452" s="5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19"/>
      <c r="AI452" s="20"/>
      <c r="AJ452" s="20"/>
      <c r="AK452" s="20"/>
      <c r="AL452" s="20"/>
      <c r="AM452" s="24"/>
      <c r="AN452" s="59"/>
      <c r="AO452" s="12"/>
      <c r="AP452" s="60"/>
    </row>
    <row r="453" spans="1:42" ht="15.6" x14ac:dyDescent="0.3">
      <c r="A453" s="23"/>
      <c r="B453" s="20"/>
      <c r="C453" s="20"/>
      <c r="D453" s="20"/>
      <c r="E453" s="20"/>
      <c r="F453" s="66"/>
      <c r="G453" s="20"/>
      <c r="H453" s="20"/>
      <c r="I453" s="20"/>
      <c r="J453" s="50"/>
      <c r="K453" s="5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19"/>
      <c r="AI453" s="20"/>
      <c r="AJ453" s="20"/>
      <c r="AK453" s="20"/>
      <c r="AL453" s="20"/>
      <c r="AM453" s="24"/>
      <c r="AN453" s="59"/>
      <c r="AO453" s="12"/>
      <c r="AP453" s="60"/>
    </row>
    <row r="454" spans="1:42" ht="15.6" x14ac:dyDescent="0.3">
      <c r="A454" s="23"/>
      <c r="B454" s="20"/>
      <c r="C454" s="20"/>
      <c r="D454" s="20"/>
      <c r="E454" s="20"/>
      <c r="F454" s="66"/>
      <c r="G454" s="20"/>
      <c r="H454" s="20"/>
      <c r="I454" s="20"/>
      <c r="J454" s="50"/>
      <c r="K454" s="5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19"/>
      <c r="AI454" s="20"/>
      <c r="AJ454" s="20"/>
      <c r="AK454" s="20"/>
      <c r="AL454" s="20"/>
      <c r="AM454" s="24"/>
      <c r="AN454" s="59"/>
      <c r="AO454" s="12"/>
      <c r="AP454" s="60"/>
    </row>
    <row r="455" spans="1:42" ht="15.6" x14ac:dyDescent="0.3">
      <c r="A455" s="23"/>
      <c r="B455" s="20"/>
      <c r="C455" s="20"/>
      <c r="D455" s="20"/>
      <c r="E455" s="20"/>
      <c r="F455" s="66"/>
      <c r="G455" s="20"/>
      <c r="H455" s="20"/>
      <c r="I455" s="20"/>
      <c r="J455" s="50"/>
      <c r="K455" s="5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19"/>
      <c r="AI455" s="20"/>
      <c r="AJ455" s="20"/>
      <c r="AK455" s="20"/>
      <c r="AL455" s="20"/>
      <c r="AM455" s="24"/>
      <c r="AN455" s="59"/>
      <c r="AO455" s="12"/>
      <c r="AP455" s="60"/>
    </row>
    <row r="456" spans="1:42" ht="15.6" x14ac:dyDescent="0.3">
      <c r="A456" s="23"/>
      <c r="B456" s="20"/>
      <c r="C456" s="20"/>
      <c r="D456" s="20"/>
      <c r="E456" s="20"/>
      <c r="F456" s="66"/>
      <c r="G456" s="20"/>
      <c r="H456" s="20"/>
      <c r="I456" s="20"/>
      <c r="J456" s="50"/>
      <c r="K456" s="5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19"/>
      <c r="AI456" s="20"/>
      <c r="AJ456" s="20"/>
      <c r="AK456" s="20"/>
      <c r="AL456" s="20"/>
      <c r="AM456" s="24"/>
      <c r="AN456" s="59"/>
      <c r="AO456" s="12"/>
      <c r="AP456" s="60"/>
    </row>
    <row r="457" spans="1:42" ht="15.6" x14ac:dyDescent="0.3">
      <c r="A457" s="23"/>
      <c r="B457" s="20"/>
      <c r="C457" s="20"/>
      <c r="D457" s="20"/>
      <c r="E457" s="20"/>
      <c r="F457" s="66"/>
      <c r="G457" s="20"/>
      <c r="H457" s="20"/>
      <c r="I457" s="20"/>
      <c r="J457" s="50"/>
      <c r="K457" s="5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19"/>
      <c r="AI457" s="20"/>
      <c r="AJ457" s="20"/>
      <c r="AK457" s="20"/>
      <c r="AL457" s="20"/>
      <c r="AM457" s="24"/>
      <c r="AN457" s="59"/>
      <c r="AO457" s="12"/>
      <c r="AP457" s="60"/>
    </row>
    <row r="458" spans="1:42" ht="15.6" x14ac:dyDescent="0.3">
      <c r="A458" s="23"/>
      <c r="B458" s="20"/>
      <c r="C458" s="20"/>
      <c r="D458" s="20"/>
      <c r="E458" s="20"/>
      <c r="F458" s="66"/>
      <c r="G458" s="20"/>
      <c r="H458" s="20"/>
      <c r="I458" s="20"/>
      <c r="J458" s="50"/>
      <c r="K458" s="5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19"/>
      <c r="AI458" s="20"/>
      <c r="AJ458" s="20"/>
      <c r="AK458" s="20"/>
      <c r="AL458" s="20"/>
      <c r="AM458" s="24"/>
      <c r="AN458" s="59"/>
      <c r="AO458" s="12"/>
      <c r="AP458" s="60"/>
    </row>
    <row r="459" spans="1:42" ht="15.6" x14ac:dyDescent="0.3">
      <c r="A459" s="23"/>
      <c r="B459" s="20"/>
      <c r="C459" s="20"/>
      <c r="D459" s="20"/>
      <c r="E459" s="20"/>
      <c r="F459" s="66"/>
      <c r="G459" s="20"/>
      <c r="H459" s="20"/>
      <c r="I459" s="20"/>
      <c r="J459" s="50"/>
      <c r="K459" s="5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19"/>
      <c r="AI459" s="20"/>
      <c r="AJ459" s="20"/>
      <c r="AK459" s="20"/>
      <c r="AL459" s="20"/>
      <c r="AM459" s="24"/>
      <c r="AN459" s="59"/>
      <c r="AO459" s="12"/>
      <c r="AP459" s="60"/>
    </row>
    <row r="460" spans="1:42" ht="15.6" x14ac:dyDescent="0.3">
      <c r="A460" s="23"/>
      <c r="B460" s="20"/>
      <c r="C460" s="20"/>
      <c r="D460" s="20"/>
      <c r="E460" s="20"/>
      <c r="F460" s="66"/>
      <c r="G460" s="20"/>
      <c r="H460" s="20"/>
      <c r="I460" s="20"/>
      <c r="J460" s="50"/>
      <c r="K460" s="5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19"/>
      <c r="AI460" s="20"/>
      <c r="AJ460" s="20"/>
      <c r="AK460" s="20"/>
      <c r="AL460" s="20"/>
      <c r="AM460" s="24"/>
      <c r="AN460" s="59"/>
      <c r="AO460" s="12"/>
      <c r="AP460" s="60"/>
    </row>
    <row r="461" spans="1:42" ht="15.6" x14ac:dyDescent="0.3">
      <c r="A461" s="23"/>
      <c r="B461" s="20"/>
      <c r="C461" s="20"/>
      <c r="D461" s="20"/>
      <c r="E461" s="20"/>
      <c r="F461" s="66"/>
      <c r="G461" s="20"/>
      <c r="H461" s="20"/>
      <c r="I461" s="20"/>
      <c r="J461" s="50"/>
      <c r="K461" s="5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19"/>
      <c r="AI461" s="20"/>
      <c r="AJ461" s="20"/>
      <c r="AK461" s="20"/>
      <c r="AL461" s="20"/>
      <c r="AM461" s="24"/>
      <c r="AN461" s="59"/>
      <c r="AO461" s="12"/>
      <c r="AP461" s="60"/>
    </row>
    <row r="462" spans="1:42" ht="15.6" x14ac:dyDescent="0.3">
      <c r="A462" s="23"/>
      <c r="B462" s="20"/>
      <c r="C462" s="20"/>
      <c r="D462" s="20"/>
      <c r="E462" s="20"/>
      <c r="F462" s="66"/>
      <c r="G462" s="20"/>
      <c r="H462" s="20"/>
      <c r="I462" s="20"/>
      <c r="J462" s="50"/>
      <c r="K462" s="5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19"/>
      <c r="AI462" s="20"/>
      <c r="AJ462" s="20"/>
      <c r="AK462" s="20"/>
      <c r="AL462" s="20"/>
      <c r="AM462" s="24"/>
      <c r="AN462" s="59"/>
      <c r="AO462" s="12"/>
      <c r="AP462" s="60"/>
    </row>
    <row r="463" spans="1:42" ht="15.6" x14ac:dyDescent="0.3">
      <c r="A463" s="23"/>
      <c r="B463" s="20"/>
      <c r="C463" s="20"/>
      <c r="D463" s="20"/>
      <c r="E463" s="20"/>
      <c r="F463" s="66"/>
      <c r="G463" s="20"/>
      <c r="H463" s="20"/>
      <c r="I463" s="20"/>
      <c r="J463" s="50"/>
      <c r="K463" s="5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19"/>
      <c r="AI463" s="20"/>
      <c r="AJ463" s="20"/>
      <c r="AK463" s="20"/>
      <c r="AL463" s="20"/>
      <c r="AM463" s="24"/>
      <c r="AN463" s="59"/>
      <c r="AO463" s="12"/>
      <c r="AP463" s="60"/>
    </row>
    <row r="464" spans="1:42" ht="15.6" x14ac:dyDescent="0.3">
      <c r="A464" s="23"/>
      <c r="B464" s="20"/>
      <c r="C464" s="20"/>
      <c r="D464" s="20"/>
      <c r="E464" s="20"/>
      <c r="F464" s="66"/>
      <c r="G464" s="20"/>
      <c r="H464" s="20"/>
      <c r="I464" s="20"/>
      <c r="J464" s="50"/>
      <c r="K464" s="5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19"/>
      <c r="AI464" s="20"/>
      <c r="AJ464" s="20"/>
      <c r="AK464" s="20"/>
      <c r="AL464" s="20"/>
      <c r="AM464" s="24"/>
      <c r="AN464" s="59"/>
      <c r="AO464" s="12"/>
      <c r="AP464" s="60"/>
    </row>
    <row r="465" spans="1:42" ht="15.6" x14ac:dyDescent="0.3">
      <c r="A465" s="23"/>
      <c r="B465" s="20"/>
      <c r="C465" s="20"/>
      <c r="D465" s="20"/>
      <c r="E465" s="20"/>
      <c r="F465" s="66"/>
      <c r="G465" s="20"/>
      <c r="H465" s="20"/>
      <c r="I465" s="20"/>
      <c r="J465" s="50"/>
      <c r="K465" s="5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19"/>
      <c r="AI465" s="20"/>
      <c r="AJ465" s="20"/>
      <c r="AK465" s="20"/>
      <c r="AL465" s="20"/>
      <c r="AM465" s="24"/>
      <c r="AN465" s="59"/>
      <c r="AO465" s="12"/>
      <c r="AP465" s="60"/>
    </row>
    <row r="466" spans="1:42" ht="15.6" x14ac:dyDescent="0.3">
      <c r="A466" s="23"/>
      <c r="B466" s="20"/>
      <c r="C466" s="20"/>
      <c r="D466" s="20"/>
      <c r="E466" s="20"/>
      <c r="F466" s="66"/>
      <c r="G466" s="20"/>
      <c r="H466" s="20"/>
      <c r="I466" s="20"/>
      <c r="J466" s="50"/>
      <c r="K466" s="5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19"/>
      <c r="AI466" s="20"/>
      <c r="AJ466" s="20"/>
      <c r="AK466" s="20"/>
      <c r="AL466" s="20"/>
      <c r="AM466" s="24"/>
      <c r="AN466" s="59"/>
      <c r="AO466" s="12"/>
      <c r="AP466" s="60"/>
    </row>
    <row r="467" spans="1:42" ht="15.6" x14ac:dyDescent="0.3">
      <c r="A467" s="23"/>
      <c r="B467" s="20"/>
      <c r="C467" s="20"/>
      <c r="D467" s="20"/>
      <c r="E467" s="20"/>
      <c r="F467" s="66"/>
      <c r="G467" s="20"/>
      <c r="H467" s="20"/>
      <c r="I467" s="20"/>
      <c r="J467" s="50"/>
      <c r="K467" s="5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19"/>
      <c r="AI467" s="20"/>
      <c r="AJ467" s="20"/>
      <c r="AK467" s="20"/>
      <c r="AL467" s="20"/>
      <c r="AM467" s="24"/>
      <c r="AN467" s="59"/>
      <c r="AO467" s="12"/>
      <c r="AP467" s="60"/>
    </row>
    <row r="468" spans="1:42" ht="15.6" x14ac:dyDescent="0.3">
      <c r="A468" s="23"/>
      <c r="B468" s="20"/>
      <c r="C468" s="20"/>
      <c r="D468" s="20"/>
      <c r="E468" s="20"/>
      <c r="F468" s="66"/>
      <c r="G468" s="20"/>
      <c r="H468" s="20"/>
      <c r="I468" s="20"/>
      <c r="J468" s="50"/>
      <c r="K468" s="5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19"/>
      <c r="AI468" s="20"/>
      <c r="AJ468" s="20"/>
      <c r="AK468" s="20"/>
      <c r="AL468" s="20"/>
      <c r="AM468" s="24"/>
      <c r="AN468" s="59"/>
      <c r="AO468" s="12"/>
      <c r="AP468" s="60"/>
    </row>
    <row r="469" spans="1:42" ht="15.6" x14ac:dyDescent="0.3">
      <c r="A469" s="23"/>
      <c r="B469" s="20"/>
      <c r="C469" s="20"/>
      <c r="D469" s="20"/>
      <c r="E469" s="20"/>
      <c r="F469" s="66"/>
      <c r="G469" s="20"/>
      <c r="H469" s="20"/>
      <c r="I469" s="20"/>
      <c r="J469" s="50"/>
      <c r="K469" s="5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19"/>
      <c r="AI469" s="20"/>
      <c r="AJ469" s="20"/>
      <c r="AK469" s="20"/>
      <c r="AL469" s="20"/>
      <c r="AM469" s="24"/>
      <c r="AN469" s="59"/>
      <c r="AO469" s="12"/>
      <c r="AP469" s="60"/>
    </row>
    <row r="470" spans="1:42" ht="15.6" x14ac:dyDescent="0.3">
      <c r="A470" s="23"/>
      <c r="B470" s="20"/>
      <c r="C470" s="20"/>
      <c r="D470" s="20"/>
      <c r="E470" s="20"/>
      <c r="F470" s="66"/>
      <c r="G470" s="20"/>
      <c r="H470" s="20"/>
      <c r="I470" s="20"/>
      <c r="J470" s="50"/>
      <c r="K470" s="5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19"/>
      <c r="AI470" s="20"/>
      <c r="AJ470" s="20"/>
      <c r="AK470" s="20"/>
      <c r="AL470" s="20"/>
      <c r="AM470" s="24"/>
      <c r="AN470" s="59"/>
      <c r="AO470" s="12"/>
      <c r="AP470" s="60"/>
    </row>
    <row r="471" spans="1:42" ht="15.6" x14ac:dyDescent="0.3">
      <c r="A471" s="23"/>
      <c r="B471" s="20"/>
      <c r="C471" s="20"/>
      <c r="D471" s="20"/>
      <c r="E471" s="20"/>
      <c r="F471" s="66"/>
      <c r="G471" s="20"/>
      <c r="H471" s="20"/>
      <c r="I471" s="20"/>
      <c r="J471" s="50"/>
      <c r="K471" s="5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19"/>
      <c r="AI471" s="20"/>
      <c r="AJ471" s="20"/>
      <c r="AK471" s="20"/>
      <c r="AL471" s="20"/>
      <c r="AM471" s="24"/>
      <c r="AN471" s="59"/>
      <c r="AO471" s="12"/>
      <c r="AP471" s="60"/>
    </row>
    <row r="472" spans="1:42" ht="15.6" x14ac:dyDescent="0.3">
      <c r="A472" s="23"/>
      <c r="B472" s="20"/>
      <c r="C472" s="20"/>
      <c r="D472" s="20"/>
      <c r="E472" s="20"/>
      <c r="F472" s="66"/>
      <c r="G472" s="20"/>
      <c r="H472" s="20"/>
      <c r="I472" s="20"/>
      <c r="J472" s="50"/>
      <c r="K472" s="5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19"/>
      <c r="AI472" s="20"/>
      <c r="AJ472" s="20"/>
      <c r="AK472" s="20"/>
      <c r="AL472" s="20"/>
      <c r="AM472" s="24"/>
      <c r="AN472" s="59"/>
      <c r="AO472" s="12"/>
      <c r="AP472" s="60"/>
    </row>
    <row r="473" spans="1:42" ht="15.6" x14ac:dyDescent="0.3">
      <c r="A473" s="23"/>
      <c r="B473" s="20"/>
      <c r="C473" s="20"/>
      <c r="D473" s="20"/>
      <c r="E473" s="20"/>
      <c r="F473" s="66"/>
      <c r="G473" s="20"/>
      <c r="H473" s="20"/>
      <c r="I473" s="20"/>
      <c r="J473" s="50"/>
      <c r="K473" s="5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19"/>
      <c r="AI473" s="20"/>
      <c r="AJ473" s="20"/>
      <c r="AK473" s="20"/>
      <c r="AL473" s="20"/>
      <c r="AM473" s="24"/>
      <c r="AN473" s="59"/>
      <c r="AO473" s="12"/>
      <c r="AP473" s="60"/>
    </row>
    <row r="474" spans="1:42" ht="15.6" x14ac:dyDescent="0.3">
      <c r="A474" s="23"/>
      <c r="B474" s="20"/>
      <c r="C474" s="20"/>
      <c r="D474" s="20"/>
      <c r="E474" s="20"/>
      <c r="F474" s="66"/>
      <c r="G474" s="20"/>
      <c r="H474" s="20"/>
      <c r="I474" s="20"/>
      <c r="J474" s="50"/>
      <c r="K474" s="5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19"/>
      <c r="AI474" s="20"/>
      <c r="AJ474" s="20"/>
      <c r="AK474" s="20"/>
      <c r="AL474" s="20"/>
      <c r="AM474" s="24"/>
      <c r="AN474" s="59"/>
      <c r="AO474" s="12"/>
      <c r="AP474" s="60"/>
    </row>
    <row r="475" spans="1:42" ht="15.6" x14ac:dyDescent="0.3">
      <c r="A475" s="23"/>
      <c r="B475" s="20"/>
      <c r="C475" s="20"/>
      <c r="D475" s="20"/>
      <c r="E475" s="20"/>
      <c r="F475" s="66"/>
      <c r="G475" s="20"/>
      <c r="H475" s="20"/>
      <c r="I475" s="20"/>
      <c r="J475" s="50"/>
      <c r="K475" s="5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19"/>
      <c r="AI475" s="20"/>
      <c r="AJ475" s="20"/>
      <c r="AK475" s="20"/>
      <c r="AL475" s="20"/>
      <c r="AM475" s="24"/>
      <c r="AN475" s="59"/>
      <c r="AO475" s="12"/>
      <c r="AP475" s="60"/>
    </row>
    <row r="476" spans="1:42" ht="15.6" x14ac:dyDescent="0.3">
      <c r="A476" s="23"/>
      <c r="B476" s="20"/>
      <c r="C476" s="20"/>
      <c r="D476" s="20"/>
      <c r="E476" s="20"/>
      <c r="F476" s="66"/>
      <c r="G476" s="20"/>
      <c r="H476" s="20"/>
      <c r="I476" s="20"/>
      <c r="J476" s="50"/>
      <c r="K476" s="5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19"/>
      <c r="AI476" s="20"/>
      <c r="AJ476" s="20"/>
      <c r="AK476" s="20"/>
      <c r="AL476" s="20"/>
      <c r="AM476" s="24"/>
      <c r="AN476" s="59"/>
      <c r="AO476" s="12"/>
      <c r="AP476" s="60"/>
    </row>
    <row r="477" spans="1:42" ht="15.6" x14ac:dyDescent="0.3">
      <c r="A477" s="23"/>
      <c r="B477" s="20"/>
      <c r="C477" s="20"/>
      <c r="D477" s="20"/>
      <c r="E477" s="20"/>
      <c r="F477" s="66"/>
      <c r="G477" s="20"/>
      <c r="H477" s="20"/>
      <c r="I477" s="20"/>
      <c r="J477" s="50"/>
      <c r="K477" s="5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19"/>
      <c r="AI477" s="20"/>
      <c r="AJ477" s="20"/>
      <c r="AK477" s="20"/>
      <c r="AL477" s="20"/>
      <c r="AM477" s="24"/>
      <c r="AN477" s="59"/>
      <c r="AO477" s="12"/>
      <c r="AP477" s="60"/>
    </row>
    <row r="478" spans="1:42" ht="15.6" x14ac:dyDescent="0.3">
      <c r="A478" s="23"/>
      <c r="B478" s="20"/>
      <c r="C478" s="20"/>
      <c r="D478" s="20"/>
      <c r="E478" s="20"/>
      <c r="F478" s="66"/>
      <c r="G478" s="20"/>
      <c r="H478" s="20"/>
      <c r="I478" s="20"/>
      <c r="J478" s="50"/>
      <c r="K478" s="5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19"/>
      <c r="AI478" s="20"/>
      <c r="AJ478" s="20"/>
      <c r="AK478" s="20"/>
      <c r="AL478" s="20"/>
      <c r="AM478" s="24"/>
      <c r="AN478" s="59"/>
      <c r="AO478" s="12"/>
      <c r="AP478" s="60"/>
    </row>
    <row r="479" spans="1:42" ht="15.6" x14ac:dyDescent="0.3">
      <c r="A479" s="23"/>
      <c r="B479" s="20"/>
      <c r="C479" s="20"/>
      <c r="D479" s="20"/>
      <c r="E479" s="20"/>
      <c r="F479" s="66"/>
      <c r="G479" s="20"/>
      <c r="H479" s="20"/>
      <c r="I479" s="20"/>
      <c r="J479" s="50"/>
      <c r="K479" s="5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19"/>
      <c r="AI479" s="20"/>
      <c r="AJ479" s="20"/>
      <c r="AK479" s="20"/>
      <c r="AL479" s="20"/>
      <c r="AM479" s="24"/>
      <c r="AN479" s="59"/>
      <c r="AO479" s="12"/>
      <c r="AP479" s="60"/>
    </row>
    <row r="480" spans="1:42" ht="15.6" x14ac:dyDescent="0.3">
      <c r="A480" s="23"/>
      <c r="B480" s="20"/>
      <c r="C480" s="20"/>
      <c r="D480" s="20"/>
      <c r="E480" s="20"/>
      <c r="F480" s="66"/>
      <c r="G480" s="20"/>
      <c r="H480" s="20"/>
      <c r="I480" s="20"/>
      <c r="J480" s="50"/>
      <c r="K480" s="5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19"/>
      <c r="AI480" s="20"/>
      <c r="AJ480" s="20"/>
      <c r="AK480" s="20"/>
      <c r="AL480" s="20"/>
      <c r="AM480" s="24"/>
      <c r="AN480" s="59"/>
      <c r="AO480" s="12"/>
      <c r="AP480" s="60"/>
    </row>
    <row r="481" spans="1:42" ht="15.6" x14ac:dyDescent="0.3">
      <c r="A481" s="23"/>
      <c r="B481" s="20"/>
      <c r="C481" s="20"/>
      <c r="D481" s="20"/>
      <c r="E481" s="20"/>
      <c r="F481" s="66"/>
      <c r="G481" s="20"/>
      <c r="H481" s="20"/>
      <c r="I481" s="20"/>
      <c r="J481" s="50"/>
      <c r="K481" s="5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19"/>
      <c r="AI481" s="20"/>
      <c r="AJ481" s="20"/>
      <c r="AK481" s="20"/>
      <c r="AL481" s="20"/>
      <c r="AM481" s="24"/>
      <c r="AN481" s="59"/>
      <c r="AO481" s="12"/>
      <c r="AP481" s="60"/>
    </row>
    <row r="482" spans="1:42" ht="15.6" x14ac:dyDescent="0.3">
      <c r="A482" s="23"/>
      <c r="B482" s="20"/>
      <c r="C482" s="20"/>
      <c r="D482" s="20"/>
      <c r="E482" s="20"/>
      <c r="F482" s="66"/>
      <c r="G482" s="20"/>
      <c r="H482" s="20"/>
      <c r="I482" s="20"/>
      <c r="J482" s="50"/>
      <c r="K482" s="5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19"/>
      <c r="AI482" s="20"/>
      <c r="AJ482" s="20"/>
      <c r="AK482" s="20"/>
      <c r="AL482" s="20"/>
      <c r="AM482" s="24"/>
      <c r="AN482" s="59"/>
      <c r="AO482" s="12"/>
      <c r="AP482" s="60"/>
    </row>
    <row r="483" spans="1:42" ht="15.6" x14ac:dyDescent="0.3">
      <c r="A483" s="23"/>
      <c r="B483" s="20"/>
      <c r="C483" s="20"/>
      <c r="D483" s="20"/>
      <c r="E483" s="20"/>
      <c r="F483" s="66"/>
      <c r="G483" s="20"/>
      <c r="H483" s="20"/>
      <c r="I483" s="20"/>
      <c r="J483" s="50"/>
      <c r="K483" s="5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19"/>
      <c r="AI483" s="20"/>
      <c r="AJ483" s="20"/>
      <c r="AK483" s="20"/>
      <c r="AL483" s="20"/>
      <c r="AM483" s="24"/>
      <c r="AN483" s="59"/>
      <c r="AO483" s="12"/>
      <c r="AP483" s="60"/>
    </row>
    <row r="484" spans="1:42" ht="15.6" x14ac:dyDescent="0.3">
      <c r="A484" s="23"/>
      <c r="B484" s="20"/>
      <c r="C484" s="20"/>
      <c r="D484" s="20"/>
      <c r="E484" s="20"/>
      <c r="F484" s="66"/>
      <c r="G484" s="20"/>
      <c r="H484" s="20"/>
      <c r="I484" s="20"/>
      <c r="J484" s="50"/>
      <c r="K484" s="5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19"/>
      <c r="AI484" s="20"/>
      <c r="AJ484" s="20"/>
      <c r="AK484" s="20"/>
      <c r="AL484" s="20"/>
      <c r="AM484" s="24"/>
      <c r="AN484" s="59"/>
      <c r="AO484" s="12"/>
      <c r="AP484" s="60"/>
    </row>
    <row r="485" spans="1:42" ht="15.6" x14ac:dyDescent="0.3">
      <c r="A485" s="23"/>
      <c r="B485" s="20"/>
      <c r="C485" s="20"/>
      <c r="D485" s="20"/>
      <c r="E485" s="20"/>
      <c r="F485" s="66"/>
      <c r="G485" s="20"/>
      <c r="H485" s="20"/>
      <c r="I485" s="20"/>
      <c r="J485" s="50"/>
      <c r="K485" s="5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19"/>
      <c r="AI485" s="20"/>
      <c r="AJ485" s="20"/>
      <c r="AK485" s="20"/>
      <c r="AL485" s="20"/>
      <c r="AM485" s="24"/>
      <c r="AN485" s="59"/>
      <c r="AO485" s="12"/>
      <c r="AP485" s="60"/>
    </row>
    <row r="486" spans="1:42" ht="15.6" x14ac:dyDescent="0.3">
      <c r="A486" s="23"/>
      <c r="B486" s="20"/>
      <c r="C486" s="20"/>
      <c r="D486" s="20"/>
      <c r="E486" s="20"/>
      <c r="F486" s="66"/>
      <c r="G486" s="20"/>
      <c r="H486" s="20"/>
      <c r="I486" s="20"/>
      <c r="J486" s="50"/>
      <c r="K486" s="5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19"/>
      <c r="AI486" s="20"/>
      <c r="AJ486" s="20"/>
      <c r="AK486" s="20"/>
      <c r="AL486" s="20"/>
      <c r="AM486" s="24"/>
      <c r="AN486" s="59"/>
      <c r="AO486" s="12"/>
      <c r="AP486" s="60"/>
    </row>
    <row r="487" spans="1:42" ht="15.6" x14ac:dyDescent="0.3">
      <c r="A487" s="23"/>
      <c r="B487" s="20"/>
      <c r="C487" s="20"/>
      <c r="D487" s="20"/>
      <c r="E487" s="20"/>
      <c r="F487" s="66"/>
      <c r="G487" s="20"/>
      <c r="H487" s="20"/>
      <c r="I487" s="20"/>
      <c r="J487" s="50"/>
      <c r="K487" s="5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19"/>
      <c r="AI487" s="20"/>
      <c r="AJ487" s="20"/>
      <c r="AK487" s="20"/>
      <c r="AL487" s="20"/>
      <c r="AM487" s="24"/>
      <c r="AN487" s="59"/>
      <c r="AO487" s="12"/>
      <c r="AP487" s="60"/>
    </row>
    <row r="488" spans="1:42" ht="15.6" x14ac:dyDescent="0.3">
      <c r="A488" s="23"/>
      <c r="B488" s="20"/>
      <c r="C488" s="20"/>
      <c r="D488" s="20"/>
      <c r="E488" s="20"/>
      <c r="F488" s="66"/>
      <c r="G488" s="20"/>
      <c r="H488" s="20"/>
      <c r="I488" s="20"/>
      <c r="J488" s="50"/>
      <c r="K488" s="5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19"/>
      <c r="AI488" s="20"/>
      <c r="AJ488" s="20"/>
      <c r="AK488" s="20"/>
      <c r="AL488" s="20"/>
      <c r="AM488" s="24"/>
      <c r="AN488" s="59"/>
      <c r="AO488" s="12"/>
      <c r="AP488" s="60"/>
    </row>
    <row r="489" spans="1:42" ht="15.6" x14ac:dyDescent="0.3">
      <c r="A489" s="23"/>
      <c r="B489" s="20"/>
      <c r="C489" s="20"/>
      <c r="D489" s="20"/>
      <c r="E489" s="20"/>
      <c r="F489" s="66"/>
      <c r="G489" s="20"/>
      <c r="H489" s="20"/>
      <c r="I489" s="20"/>
      <c r="J489" s="50"/>
      <c r="K489" s="5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19"/>
      <c r="AI489" s="20"/>
      <c r="AJ489" s="20"/>
      <c r="AK489" s="20"/>
      <c r="AL489" s="20"/>
      <c r="AM489" s="24"/>
      <c r="AN489" s="59"/>
      <c r="AO489" s="12"/>
      <c r="AP489" s="60"/>
    </row>
    <row r="490" spans="1:42" ht="15.6" x14ac:dyDescent="0.3">
      <c r="A490" s="23"/>
      <c r="B490" s="20"/>
      <c r="C490" s="20"/>
      <c r="D490" s="20"/>
      <c r="E490" s="20"/>
      <c r="F490" s="66"/>
      <c r="G490" s="20"/>
      <c r="H490" s="20"/>
      <c r="I490" s="20"/>
      <c r="J490" s="50"/>
      <c r="K490" s="5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19"/>
      <c r="AI490" s="20"/>
      <c r="AJ490" s="20"/>
      <c r="AK490" s="20"/>
      <c r="AL490" s="20"/>
      <c r="AM490" s="24"/>
      <c r="AN490" s="59"/>
      <c r="AO490" s="12"/>
      <c r="AP490" s="60"/>
    </row>
    <row r="491" spans="1:42" ht="15.6" x14ac:dyDescent="0.3">
      <c r="A491" s="23"/>
      <c r="B491" s="20"/>
      <c r="C491" s="20"/>
      <c r="D491" s="20"/>
      <c r="E491" s="20"/>
      <c r="F491" s="66"/>
      <c r="G491" s="20"/>
      <c r="H491" s="20"/>
      <c r="I491" s="20"/>
      <c r="J491" s="50"/>
      <c r="K491" s="5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19"/>
      <c r="AI491" s="20"/>
      <c r="AJ491" s="20"/>
      <c r="AK491" s="20"/>
      <c r="AL491" s="20"/>
      <c r="AM491" s="24"/>
      <c r="AN491" s="59"/>
      <c r="AO491" s="12"/>
      <c r="AP491" s="60"/>
    </row>
    <row r="492" spans="1:42" ht="15.6" x14ac:dyDescent="0.3">
      <c r="A492" s="23"/>
      <c r="B492" s="20"/>
      <c r="C492" s="20"/>
      <c r="D492" s="20"/>
      <c r="E492" s="20"/>
      <c r="F492" s="66"/>
      <c r="G492" s="20"/>
      <c r="H492" s="20"/>
      <c r="I492" s="20"/>
      <c r="J492" s="50"/>
      <c r="K492" s="5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19"/>
      <c r="AI492" s="20"/>
      <c r="AJ492" s="20"/>
      <c r="AK492" s="20"/>
      <c r="AL492" s="20"/>
      <c r="AM492" s="24"/>
      <c r="AN492" s="59"/>
      <c r="AO492" s="12"/>
      <c r="AP492" s="60"/>
    </row>
    <row r="493" spans="1:42" ht="15.6" x14ac:dyDescent="0.3">
      <c r="A493" s="23"/>
      <c r="B493" s="20"/>
      <c r="C493" s="20"/>
      <c r="D493" s="20"/>
      <c r="E493" s="20"/>
      <c r="F493" s="66"/>
      <c r="G493" s="20"/>
      <c r="H493" s="20"/>
      <c r="I493" s="20"/>
      <c r="J493" s="50"/>
      <c r="K493" s="5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19"/>
      <c r="AI493" s="20"/>
      <c r="AJ493" s="20"/>
      <c r="AK493" s="20"/>
      <c r="AL493" s="20"/>
      <c r="AM493" s="24"/>
      <c r="AN493" s="59"/>
      <c r="AO493" s="12"/>
      <c r="AP493" s="60"/>
    </row>
    <row r="494" spans="1:42" ht="15.6" x14ac:dyDescent="0.3">
      <c r="A494" s="23"/>
      <c r="B494" s="20"/>
      <c r="C494" s="20"/>
      <c r="D494" s="20"/>
      <c r="E494" s="20"/>
      <c r="F494" s="66"/>
      <c r="G494" s="20"/>
      <c r="H494" s="20"/>
      <c r="I494" s="20"/>
      <c r="J494" s="50"/>
      <c r="K494" s="5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19"/>
      <c r="AI494" s="20"/>
      <c r="AJ494" s="20"/>
      <c r="AK494" s="20"/>
      <c r="AL494" s="20"/>
      <c r="AM494" s="24"/>
      <c r="AN494" s="59"/>
      <c r="AO494" s="12"/>
      <c r="AP494" s="60"/>
    </row>
    <row r="495" spans="1:42" ht="15.6" x14ac:dyDescent="0.3">
      <c r="A495" s="23"/>
      <c r="B495" s="20"/>
      <c r="C495" s="20"/>
      <c r="D495" s="20"/>
      <c r="E495" s="20"/>
      <c r="F495" s="66"/>
      <c r="G495" s="20"/>
      <c r="H495" s="20"/>
      <c r="I495" s="20"/>
      <c r="J495" s="50"/>
      <c r="K495" s="5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19"/>
      <c r="AI495" s="20"/>
      <c r="AJ495" s="20"/>
      <c r="AK495" s="20"/>
      <c r="AL495" s="20"/>
      <c r="AM495" s="24"/>
      <c r="AN495" s="59"/>
      <c r="AO495" s="12"/>
      <c r="AP495" s="60"/>
    </row>
    <row r="496" spans="1:42" ht="15.6" x14ac:dyDescent="0.3">
      <c r="A496" s="23"/>
      <c r="B496" s="20"/>
      <c r="C496" s="20"/>
      <c r="D496" s="20"/>
      <c r="E496" s="20"/>
      <c r="F496" s="66"/>
      <c r="G496" s="20"/>
      <c r="H496" s="20"/>
      <c r="I496" s="20"/>
      <c r="J496" s="50"/>
      <c r="K496" s="5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19"/>
      <c r="AI496" s="20"/>
      <c r="AJ496" s="20"/>
      <c r="AK496" s="20"/>
      <c r="AL496" s="20"/>
      <c r="AM496" s="24"/>
      <c r="AN496" s="59"/>
      <c r="AO496" s="12"/>
      <c r="AP496" s="60"/>
    </row>
    <row r="497" spans="1:42" ht="15.6" x14ac:dyDescent="0.3">
      <c r="A497" s="23"/>
      <c r="B497" s="20"/>
      <c r="C497" s="20"/>
      <c r="D497" s="20"/>
      <c r="E497" s="20"/>
      <c r="F497" s="66"/>
      <c r="G497" s="20"/>
      <c r="H497" s="20"/>
      <c r="I497" s="20"/>
      <c r="J497" s="50"/>
      <c r="K497" s="5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19"/>
      <c r="AI497" s="20"/>
      <c r="AJ497" s="20"/>
      <c r="AK497" s="20"/>
      <c r="AL497" s="20"/>
      <c r="AM497" s="24"/>
      <c r="AN497" s="59"/>
      <c r="AO497" s="12"/>
      <c r="AP497" s="60"/>
    </row>
    <row r="498" spans="1:42" ht="15.6" x14ac:dyDescent="0.3">
      <c r="A498" s="23"/>
      <c r="B498" s="20"/>
      <c r="C498" s="20"/>
      <c r="D498" s="20"/>
      <c r="E498" s="20"/>
      <c r="F498" s="66"/>
      <c r="G498" s="20"/>
      <c r="H498" s="20"/>
      <c r="I498" s="20"/>
      <c r="J498" s="50"/>
      <c r="K498" s="5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19"/>
      <c r="AI498" s="20"/>
      <c r="AJ498" s="20"/>
      <c r="AK498" s="20"/>
      <c r="AL498" s="20"/>
      <c r="AM498" s="24"/>
      <c r="AN498" s="59"/>
      <c r="AO498" s="12"/>
      <c r="AP498" s="60"/>
    </row>
    <row r="499" spans="1:42" ht="15.6" x14ac:dyDescent="0.3">
      <c r="A499" s="23"/>
      <c r="B499" s="20"/>
      <c r="C499" s="20"/>
      <c r="D499" s="20"/>
      <c r="E499" s="20"/>
      <c r="F499" s="66"/>
      <c r="G499" s="20"/>
      <c r="H499" s="20"/>
      <c r="I499" s="20"/>
      <c r="J499" s="50"/>
      <c r="K499" s="5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19"/>
      <c r="AI499" s="20"/>
      <c r="AJ499" s="20"/>
      <c r="AK499" s="20"/>
      <c r="AL499" s="20"/>
      <c r="AM499" s="24"/>
      <c r="AN499" s="59"/>
      <c r="AO499" s="12"/>
      <c r="AP499" s="60"/>
    </row>
    <row r="500" spans="1:42" ht="15.6" x14ac:dyDescent="0.3">
      <c r="A500" s="23"/>
      <c r="B500" s="20"/>
      <c r="C500" s="20"/>
      <c r="D500" s="20"/>
      <c r="E500" s="20"/>
      <c r="F500" s="66"/>
      <c r="G500" s="20"/>
      <c r="H500" s="20"/>
      <c r="I500" s="20"/>
      <c r="J500" s="50"/>
      <c r="K500" s="5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19"/>
      <c r="AI500" s="20"/>
      <c r="AJ500" s="20"/>
      <c r="AK500" s="20"/>
      <c r="AL500" s="20"/>
      <c r="AM500" s="24"/>
      <c r="AN500" s="59"/>
      <c r="AO500" s="12"/>
      <c r="AP500" s="60"/>
    </row>
    <row r="501" spans="1:42" ht="15.6" x14ac:dyDescent="0.3">
      <c r="A501" s="23"/>
      <c r="B501" s="20"/>
      <c r="C501" s="20"/>
      <c r="D501" s="20"/>
      <c r="E501" s="20"/>
      <c r="F501" s="66"/>
      <c r="G501" s="20"/>
      <c r="H501" s="20"/>
      <c r="I501" s="20"/>
      <c r="J501" s="50"/>
      <c r="K501" s="5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19"/>
      <c r="AI501" s="20"/>
      <c r="AJ501" s="20"/>
      <c r="AK501" s="20"/>
      <c r="AL501" s="20"/>
      <c r="AM501" s="24"/>
      <c r="AN501" s="59"/>
      <c r="AO501" s="12"/>
      <c r="AP501" s="60"/>
    </row>
    <row r="502" spans="1:42" ht="15.6" x14ac:dyDescent="0.3">
      <c r="A502" s="23"/>
      <c r="B502" s="20"/>
      <c r="C502" s="20"/>
      <c r="D502" s="20"/>
      <c r="E502" s="20"/>
      <c r="F502" s="66"/>
      <c r="G502" s="20"/>
      <c r="H502" s="20"/>
      <c r="I502" s="20"/>
      <c r="J502" s="50"/>
      <c r="K502" s="5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19"/>
      <c r="AI502" s="20"/>
      <c r="AJ502" s="20"/>
      <c r="AK502" s="20"/>
      <c r="AL502" s="20"/>
      <c r="AM502" s="24"/>
      <c r="AN502" s="59"/>
      <c r="AO502" s="12"/>
      <c r="AP502" s="60"/>
    </row>
    <row r="503" spans="1:42" ht="15.6" x14ac:dyDescent="0.3">
      <c r="A503" s="23"/>
      <c r="B503" s="20"/>
      <c r="C503" s="20"/>
      <c r="D503" s="20"/>
      <c r="E503" s="20"/>
      <c r="F503" s="66"/>
      <c r="G503" s="20"/>
      <c r="H503" s="20"/>
      <c r="I503" s="20"/>
      <c r="J503" s="50"/>
      <c r="K503" s="5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19"/>
      <c r="AI503" s="20"/>
      <c r="AJ503" s="20"/>
      <c r="AK503" s="20"/>
      <c r="AL503" s="20"/>
      <c r="AM503" s="24"/>
      <c r="AN503" s="59"/>
      <c r="AO503" s="12"/>
      <c r="AP503" s="60"/>
    </row>
    <row r="504" spans="1:42" ht="15.6" x14ac:dyDescent="0.3">
      <c r="A504" s="23"/>
      <c r="B504" s="20"/>
      <c r="C504" s="20"/>
      <c r="D504" s="20"/>
      <c r="E504" s="20"/>
      <c r="F504" s="66"/>
      <c r="G504" s="20"/>
      <c r="H504" s="20"/>
      <c r="I504" s="20"/>
      <c r="J504" s="50"/>
      <c r="K504" s="5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19"/>
      <c r="AI504" s="20"/>
      <c r="AJ504" s="20"/>
      <c r="AK504" s="20"/>
      <c r="AL504" s="20"/>
      <c r="AM504" s="24"/>
      <c r="AN504" s="59"/>
      <c r="AO504" s="12"/>
      <c r="AP504" s="60"/>
    </row>
    <row r="505" spans="1:42" ht="15.6" x14ac:dyDescent="0.3">
      <c r="A505" s="23"/>
      <c r="B505" s="20"/>
      <c r="C505" s="20"/>
      <c r="D505" s="20"/>
      <c r="E505" s="20"/>
      <c r="F505" s="66"/>
      <c r="G505" s="20"/>
      <c r="H505" s="20"/>
      <c r="I505" s="20"/>
      <c r="J505" s="50"/>
      <c r="K505" s="5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19"/>
      <c r="AI505" s="20"/>
      <c r="AJ505" s="20"/>
      <c r="AK505" s="20"/>
      <c r="AL505" s="20"/>
      <c r="AM505" s="24"/>
      <c r="AN505" s="59"/>
      <c r="AO505" s="12"/>
      <c r="AP505" s="60"/>
    </row>
    <row r="506" spans="1:42" ht="15.6" x14ac:dyDescent="0.3">
      <c r="A506" s="23"/>
      <c r="B506" s="20"/>
      <c r="C506" s="20"/>
      <c r="D506" s="20"/>
      <c r="E506" s="20"/>
      <c r="F506" s="66"/>
      <c r="G506" s="20"/>
      <c r="H506" s="20"/>
      <c r="I506" s="20"/>
      <c r="J506" s="50"/>
      <c r="K506" s="5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19"/>
      <c r="AI506" s="20"/>
      <c r="AJ506" s="20"/>
      <c r="AK506" s="20"/>
      <c r="AL506" s="20"/>
      <c r="AM506" s="24"/>
      <c r="AN506" s="59"/>
      <c r="AO506" s="12"/>
      <c r="AP506" s="60"/>
    </row>
    <row r="507" spans="1:42" ht="15.6" x14ac:dyDescent="0.3">
      <c r="A507" s="23"/>
      <c r="B507" s="20"/>
      <c r="C507" s="20"/>
      <c r="D507" s="20"/>
      <c r="E507" s="20"/>
      <c r="F507" s="66"/>
      <c r="G507" s="20"/>
      <c r="H507" s="20"/>
      <c r="I507" s="20"/>
      <c r="J507" s="50"/>
      <c r="K507" s="5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19"/>
      <c r="AI507" s="20"/>
      <c r="AJ507" s="20"/>
      <c r="AK507" s="20"/>
      <c r="AL507" s="20"/>
      <c r="AM507" s="24"/>
      <c r="AN507" s="59"/>
      <c r="AO507" s="12"/>
      <c r="AP507" s="60"/>
    </row>
    <row r="508" spans="1:42" ht="15.6" x14ac:dyDescent="0.3">
      <c r="A508" s="23"/>
      <c r="B508" s="20"/>
      <c r="C508" s="20"/>
      <c r="D508" s="20"/>
      <c r="E508" s="20"/>
      <c r="F508" s="66"/>
      <c r="G508" s="20"/>
      <c r="H508" s="20"/>
      <c r="I508" s="20"/>
      <c r="J508" s="50"/>
      <c r="K508" s="5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19"/>
      <c r="AI508" s="20"/>
      <c r="AJ508" s="20"/>
      <c r="AK508" s="20"/>
      <c r="AL508" s="20"/>
      <c r="AM508" s="24"/>
      <c r="AN508" s="59"/>
      <c r="AO508" s="12"/>
      <c r="AP508" s="60"/>
    </row>
    <row r="509" spans="1:42" ht="15.6" x14ac:dyDescent="0.3">
      <c r="A509" s="23"/>
      <c r="B509" s="20"/>
      <c r="C509" s="20"/>
      <c r="D509" s="20"/>
      <c r="E509" s="20"/>
      <c r="F509" s="66"/>
      <c r="G509" s="20"/>
      <c r="H509" s="20"/>
      <c r="I509" s="20"/>
      <c r="J509" s="50"/>
      <c r="K509" s="5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19"/>
      <c r="AI509" s="20"/>
      <c r="AJ509" s="20"/>
      <c r="AK509" s="20"/>
      <c r="AL509" s="20"/>
      <c r="AM509" s="24"/>
      <c r="AN509" s="59"/>
      <c r="AO509" s="12"/>
      <c r="AP509" s="60"/>
    </row>
    <row r="510" spans="1:42" ht="15.6" x14ac:dyDescent="0.3">
      <c r="A510" s="23"/>
      <c r="B510" s="20"/>
      <c r="C510" s="20"/>
      <c r="D510" s="20"/>
      <c r="E510" s="20"/>
      <c r="F510" s="66"/>
      <c r="G510" s="20"/>
      <c r="H510" s="20"/>
      <c r="I510" s="20"/>
      <c r="J510" s="50"/>
      <c r="K510" s="5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19"/>
      <c r="AI510" s="20"/>
      <c r="AJ510" s="20"/>
      <c r="AK510" s="20"/>
      <c r="AL510" s="20"/>
      <c r="AM510" s="24"/>
      <c r="AN510" s="59"/>
      <c r="AO510" s="12"/>
      <c r="AP510" s="60"/>
    </row>
    <row r="511" spans="1:42" ht="15.6" x14ac:dyDescent="0.3">
      <c r="A511" s="23"/>
      <c r="B511" s="20"/>
      <c r="C511" s="20"/>
      <c r="D511" s="20"/>
      <c r="E511" s="20"/>
      <c r="F511" s="66"/>
      <c r="G511" s="20"/>
      <c r="H511" s="20"/>
      <c r="I511" s="20"/>
      <c r="J511" s="50"/>
      <c r="K511" s="5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19"/>
      <c r="AI511" s="20"/>
      <c r="AJ511" s="20"/>
      <c r="AK511" s="20"/>
      <c r="AL511" s="20"/>
      <c r="AM511" s="24"/>
      <c r="AN511" s="59"/>
      <c r="AO511" s="12"/>
      <c r="AP511" s="60"/>
    </row>
    <row r="512" spans="1:42" ht="15.6" x14ac:dyDescent="0.3">
      <c r="A512" s="23"/>
      <c r="B512" s="20"/>
      <c r="C512" s="20"/>
      <c r="D512" s="20"/>
      <c r="E512" s="20"/>
      <c r="F512" s="66"/>
      <c r="G512" s="20"/>
      <c r="H512" s="20"/>
      <c r="I512" s="20"/>
      <c r="J512" s="50"/>
      <c r="K512" s="5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19"/>
      <c r="AI512" s="20"/>
      <c r="AJ512" s="20"/>
      <c r="AK512" s="20"/>
      <c r="AL512" s="20"/>
      <c r="AM512" s="24"/>
      <c r="AN512" s="59"/>
      <c r="AO512" s="12"/>
      <c r="AP512" s="60"/>
    </row>
    <row r="513" spans="1:42" ht="15.6" x14ac:dyDescent="0.3">
      <c r="A513" s="23"/>
      <c r="B513" s="20"/>
      <c r="C513" s="20"/>
      <c r="D513" s="20"/>
      <c r="E513" s="20"/>
      <c r="F513" s="66"/>
      <c r="G513" s="20"/>
      <c r="H513" s="20"/>
      <c r="I513" s="20"/>
      <c r="J513" s="50"/>
      <c r="K513" s="5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19"/>
      <c r="AI513" s="20"/>
      <c r="AJ513" s="20"/>
      <c r="AK513" s="20"/>
      <c r="AL513" s="20"/>
      <c r="AM513" s="24"/>
      <c r="AN513" s="59"/>
      <c r="AO513" s="12"/>
      <c r="AP513" s="60"/>
    </row>
    <row r="514" spans="1:42" ht="15.6" x14ac:dyDescent="0.3">
      <c r="A514" s="23"/>
      <c r="B514" s="20"/>
      <c r="C514" s="20"/>
      <c r="D514" s="20"/>
      <c r="E514" s="20"/>
      <c r="F514" s="66"/>
      <c r="G514" s="20"/>
      <c r="H514" s="20"/>
      <c r="I514" s="20"/>
      <c r="J514" s="50"/>
      <c r="K514" s="5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19"/>
      <c r="AI514" s="20"/>
      <c r="AJ514" s="20"/>
      <c r="AK514" s="20"/>
      <c r="AL514" s="20"/>
      <c r="AM514" s="24"/>
      <c r="AN514" s="59"/>
      <c r="AO514" s="12"/>
      <c r="AP514" s="60"/>
    </row>
    <row r="515" spans="1:42" ht="15.6" x14ac:dyDescent="0.3">
      <c r="A515" s="23"/>
      <c r="B515" s="20"/>
      <c r="C515" s="20"/>
      <c r="D515" s="20"/>
      <c r="E515" s="20"/>
      <c r="F515" s="66"/>
      <c r="G515" s="20"/>
      <c r="H515" s="20"/>
      <c r="I515" s="20"/>
      <c r="J515" s="50"/>
      <c r="K515" s="5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19"/>
      <c r="AI515" s="20"/>
      <c r="AJ515" s="20"/>
      <c r="AK515" s="20"/>
      <c r="AL515" s="20"/>
      <c r="AM515" s="24"/>
      <c r="AN515" s="59"/>
      <c r="AO515" s="12"/>
      <c r="AP515" s="60"/>
    </row>
    <row r="516" spans="1:42" ht="15.6" x14ac:dyDescent="0.3">
      <c r="A516" s="23"/>
      <c r="B516" s="20"/>
      <c r="C516" s="20"/>
      <c r="D516" s="20"/>
      <c r="E516" s="20"/>
      <c r="F516" s="66"/>
      <c r="G516" s="20"/>
      <c r="H516" s="20"/>
      <c r="I516" s="20"/>
      <c r="J516" s="50"/>
      <c r="K516" s="5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19"/>
      <c r="AI516" s="20"/>
      <c r="AJ516" s="20"/>
      <c r="AK516" s="20"/>
      <c r="AL516" s="20"/>
      <c r="AM516" s="24"/>
      <c r="AN516" s="59"/>
      <c r="AO516" s="12"/>
      <c r="AP516" s="60"/>
    </row>
    <row r="517" spans="1:42" ht="15.6" x14ac:dyDescent="0.3">
      <c r="A517" s="23"/>
      <c r="B517" s="20"/>
      <c r="C517" s="20"/>
      <c r="D517" s="20"/>
      <c r="E517" s="20"/>
      <c r="F517" s="66"/>
      <c r="G517" s="20"/>
      <c r="H517" s="20"/>
      <c r="I517" s="20"/>
      <c r="J517" s="50"/>
      <c r="K517" s="5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19"/>
      <c r="AI517" s="20"/>
      <c r="AJ517" s="20"/>
      <c r="AK517" s="20"/>
      <c r="AL517" s="20"/>
      <c r="AM517" s="24"/>
      <c r="AN517" s="59"/>
      <c r="AO517" s="12"/>
      <c r="AP517" s="60"/>
    </row>
    <row r="518" spans="1:42" ht="15.6" x14ac:dyDescent="0.3">
      <c r="A518" s="23"/>
      <c r="B518" s="20"/>
      <c r="C518" s="20"/>
      <c r="D518" s="20"/>
      <c r="E518" s="20"/>
      <c r="F518" s="66"/>
      <c r="G518" s="20"/>
      <c r="H518" s="20"/>
      <c r="I518" s="20"/>
      <c r="J518" s="50"/>
      <c r="K518" s="5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19"/>
      <c r="AI518" s="20"/>
      <c r="AJ518" s="20"/>
      <c r="AK518" s="20"/>
      <c r="AL518" s="20"/>
      <c r="AM518" s="24"/>
      <c r="AN518" s="59"/>
      <c r="AO518" s="12"/>
      <c r="AP518" s="60"/>
    </row>
    <row r="519" spans="1:42" ht="15.6" x14ac:dyDescent="0.3">
      <c r="A519" s="23"/>
      <c r="B519" s="20"/>
      <c r="C519" s="20"/>
      <c r="D519" s="20"/>
      <c r="E519" s="20"/>
      <c r="F519" s="66"/>
      <c r="G519" s="20"/>
      <c r="H519" s="20"/>
      <c r="I519" s="20"/>
      <c r="J519" s="50"/>
      <c r="K519" s="5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19"/>
      <c r="AI519" s="20"/>
      <c r="AJ519" s="20"/>
      <c r="AK519" s="20"/>
      <c r="AL519" s="20"/>
      <c r="AM519" s="24"/>
      <c r="AN519" s="59"/>
      <c r="AO519" s="12"/>
      <c r="AP519" s="60"/>
    </row>
    <row r="520" spans="1:42" ht="15.6" x14ac:dyDescent="0.3">
      <c r="A520" s="23"/>
      <c r="B520" s="20"/>
      <c r="C520" s="20"/>
      <c r="D520" s="20"/>
      <c r="E520" s="20"/>
      <c r="F520" s="66"/>
      <c r="G520" s="20"/>
      <c r="H520" s="20"/>
      <c r="I520" s="20"/>
      <c r="J520" s="50"/>
      <c r="K520" s="5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19"/>
      <c r="AI520" s="20"/>
      <c r="AJ520" s="20"/>
      <c r="AK520" s="20"/>
      <c r="AL520" s="20"/>
      <c r="AM520" s="24"/>
      <c r="AN520" s="59"/>
      <c r="AO520" s="12"/>
      <c r="AP520" s="60"/>
    </row>
    <row r="521" spans="1:42" ht="15.6" x14ac:dyDescent="0.3">
      <c r="A521" s="23"/>
      <c r="B521" s="20"/>
      <c r="C521" s="20"/>
      <c r="D521" s="20"/>
      <c r="E521" s="20"/>
      <c r="F521" s="66"/>
      <c r="G521" s="20"/>
      <c r="H521" s="20"/>
      <c r="I521" s="20"/>
      <c r="J521" s="50"/>
      <c r="K521" s="5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19"/>
      <c r="AI521" s="20"/>
      <c r="AJ521" s="20"/>
      <c r="AK521" s="20"/>
      <c r="AL521" s="20"/>
      <c r="AM521" s="24"/>
      <c r="AN521" s="59"/>
      <c r="AO521" s="12"/>
      <c r="AP521" s="60"/>
    </row>
    <row r="522" spans="1:42" ht="15.6" x14ac:dyDescent="0.3">
      <c r="A522" s="23"/>
      <c r="B522" s="20"/>
      <c r="C522" s="20"/>
      <c r="D522" s="20"/>
      <c r="E522" s="20"/>
      <c r="F522" s="66"/>
      <c r="G522" s="20"/>
      <c r="H522" s="20"/>
      <c r="I522" s="20"/>
      <c r="J522" s="50"/>
      <c r="K522" s="5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19"/>
      <c r="AI522" s="20"/>
      <c r="AJ522" s="20"/>
      <c r="AK522" s="20"/>
      <c r="AL522" s="20"/>
      <c r="AM522" s="24"/>
      <c r="AN522" s="59"/>
      <c r="AO522" s="12"/>
      <c r="AP522" s="60"/>
    </row>
    <row r="523" spans="1:42" ht="15.6" x14ac:dyDescent="0.3">
      <c r="A523" s="23"/>
      <c r="B523" s="20"/>
      <c r="C523" s="20"/>
      <c r="D523" s="20"/>
      <c r="E523" s="20"/>
      <c r="F523" s="66"/>
      <c r="G523" s="20"/>
      <c r="H523" s="20"/>
      <c r="I523" s="20"/>
      <c r="J523" s="50"/>
      <c r="K523" s="5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19"/>
      <c r="AI523" s="20"/>
      <c r="AJ523" s="20"/>
      <c r="AK523" s="20"/>
      <c r="AL523" s="20"/>
      <c r="AM523" s="24"/>
      <c r="AN523" s="59"/>
      <c r="AO523" s="12"/>
      <c r="AP523" s="60"/>
    </row>
    <row r="524" spans="1:42" ht="15.6" x14ac:dyDescent="0.3">
      <c r="A524" s="23"/>
      <c r="B524" s="20"/>
      <c r="C524" s="20"/>
      <c r="D524" s="20"/>
      <c r="E524" s="20"/>
      <c r="F524" s="66"/>
      <c r="G524" s="20"/>
      <c r="H524" s="20"/>
      <c r="I524" s="20"/>
      <c r="J524" s="50"/>
      <c r="K524" s="5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19"/>
      <c r="AI524" s="20"/>
      <c r="AJ524" s="20"/>
      <c r="AK524" s="20"/>
      <c r="AL524" s="20"/>
      <c r="AM524" s="24"/>
      <c r="AN524" s="59"/>
      <c r="AO524" s="12"/>
      <c r="AP524" s="60"/>
    </row>
    <row r="525" spans="1:42" ht="15.6" x14ac:dyDescent="0.3">
      <c r="A525" s="23"/>
      <c r="B525" s="20"/>
      <c r="C525" s="20"/>
      <c r="D525" s="20"/>
      <c r="E525" s="20"/>
      <c r="F525" s="66"/>
      <c r="G525" s="20"/>
      <c r="H525" s="20"/>
      <c r="I525" s="20"/>
      <c r="J525" s="50"/>
      <c r="K525" s="5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19"/>
      <c r="AI525" s="20"/>
      <c r="AJ525" s="20"/>
      <c r="AK525" s="20"/>
      <c r="AL525" s="20"/>
      <c r="AM525" s="24"/>
      <c r="AN525" s="59"/>
      <c r="AO525" s="12"/>
      <c r="AP525" s="60"/>
    </row>
    <row r="526" spans="1:42" ht="15.6" x14ac:dyDescent="0.3">
      <c r="A526" s="23"/>
      <c r="B526" s="20"/>
      <c r="C526" s="20"/>
      <c r="D526" s="20"/>
      <c r="E526" s="20"/>
      <c r="F526" s="66"/>
      <c r="G526" s="20"/>
      <c r="H526" s="20"/>
      <c r="I526" s="20"/>
      <c r="J526" s="50"/>
      <c r="K526" s="5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19"/>
      <c r="AI526" s="20"/>
      <c r="AJ526" s="20"/>
      <c r="AK526" s="20"/>
      <c r="AL526" s="20"/>
      <c r="AM526" s="24"/>
      <c r="AN526" s="59"/>
      <c r="AO526" s="12"/>
      <c r="AP526" s="60"/>
    </row>
    <row r="527" spans="1:42" ht="15.6" x14ac:dyDescent="0.3">
      <c r="A527" s="23"/>
      <c r="B527" s="20"/>
      <c r="C527" s="20"/>
      <c r="D527" s="20"/>
      <c r="E527" s="20"/>
      <c r="F527" s="66"/>
      <c r="G527" s="20"/>
      <c r="H527" s="20"/>
      <c r="I527" s="20"/>
      <c r="J527" s="50"/>
      <c r="K527" s="5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19"/>
      <c r="AI527" s="20"/>
      <c r="AJ527" s="20"/>
      <c r="AK527" s="20"/>
      <c r="AL527" s="20"/>
      <c r="AM527" s="24"/>
      <c r="AN527" s="59"/>
      <c r="AO527" s="12"/>
      <c r="AP527" s="60"/>
    </row>
    <row r="528" spans="1:42" ht="15.6" x14ac:dyDescent="0.3">
      <c r="A528" s="23"/>
      <c r="B528" s="20"/>
      <c r="C528" s="20"/>
      <c r="D528" s="20"/>
      <c r="E528" s="20"/>
      <c r="F528" s="66"/>
      <c r="G528" s="20"/>
      <c r="H528" s="20"/>
      <c r="I528" s="20"/>
      <c r="J528" s="50"/>
      <c r="K528" s="5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19"/>
      <c r="AI528" s="20"/>
      <c r="AJ528" s="20"/>
      <c r="AK528" s="20"/>
      <c r="AL528" s="20"/>
      <c r="AM528" s="24"/>
      <c r="AN528" s="59"/>
      <c r="AO528" s="12"/>
      <c r="AP528" s="60"/>
    </row>
    <row r="529" spans="1:42" ht="15.6" x14ac:dyDescent="0.3">
      <c r="A529" s="23"/>
      <c r="B529" s="20"/>
      <c r="C529" s="20"/>
      <c r="D529" s="20"/>
      <c r="E529" s="20"/>
      <c r="F529" s="66"/>
      <c r="G529" s="20"/>
      <c r="H529" s="20"/>
      <c r="I529" s="20"/>
      <c r="J529" s="50"/>
      <c r="K529" s="5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19"/>
      <c r="AI529" s="20"/>
      <c r="AJ529" s="20"/>
      <c r="AK529" s="20"/>
      <c r="AL529" s="20"/>
      <c r="AM529" s="24"/>
      <c r="AN529" s="59"/>
      <c r="AO529" s="12"/>
      <c r="AP529" s="60"/>
    </row>
    <row r="530" spans="1:42" ht="15.6" x14ac:dyDescent="0.3">
      <c r="A530" s="23"/>
      <c r="B530" s="20"/>
      <c r="C530" s="20"/>
      <c r="D530" s="20"/>
      <c r="E530" s="20"/>
      <c r="F530" s="66"/>
      <c r="G530" s="20"/>
      <c r="H530" s="20"/>
      <c r="I530" s="20"/>
      <c r="J530" s="50"/>
      <c r="K530" s="5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19"/>
      <c r="AI530" s="20"/>
      <c r="AJ530" s="20"/>
      <c r="AK530" s="20"/>
      <c r="AL530" s="20"/>
      <c r="AM530" s="24"/>
      <c r="AN530" s="59"/>
      <c r="AO530" s="12"/>
      <c r="AP530" s="60"/>
    </row>
    <row r="531" spans="1:42" ht="15.6" x14ac:dyDescent="0.3">
      <c r="A531" s="23"/>
      <c r="B531" s="20"/>
      <c r="C531" s="20"/>
      <c r="D531" s="20"/>
      <c r="E531" s="20"/>
      <c r="F531" s="66"/>
      <c r="G531" s="20"/>
      <c r="H531" s="20"/>
      <c r="I531" s="20"/>
      <c r="J531" s="50"/>
      <c r="K531" s="5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19"/>
      <c r="AI531" s="20"/>
      <c r="AJ531" s="20"/>
      <c r="AK531" s="20"/>
      <c r="AL531" s="20"/>
      <c r="AM531" s="24"/>
      <c r="AN531" s="59"/>
      <c r="AO531" s="12"/>
      <c r="AP531" s="60"/>
    </row>
    <row r="532" spans="1:42" ht="15.6" x14ac:dyDescent="0.3">
      <c r="A532" s="23"/>
      <c r="B532" s="20"/>
      <c r="C532" s="20"/>
      <c r="D532" s="20"/>
      <c r="E532" s="20"/>
      <c r="F532" s="66"/>
      <c r="G532" s="20"/>
      <c r="H532" s="20"/>
      <c r="I532" s="20"/>
      <c r="J532" s="50"/>
      <c r="K532" s="5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19"/>
      <c r="AI532" s="20"/>
      <c r="AJ532" s="20"/>
      <c r="AK532" s="20"/>
      <c r="AL532" s="20"/>
      <c r="AM532" s="24"/>
      <c r="AN532" s="59"/>
      <c r="AO532" s="12"/>
      <c r="AP532" s="60"/>
    </row>
    <row r="533" spans="1:42" ht="15.6" x14ac:dyDescent="0.3">
      <c r="A533" s="23"/>
      <c r="B533" s="20"/>
      <c r="C533" s="20"/>
      <c r="D533" s="20"/>
      <c r="E533" s="20"/>
      <c r="F533" s="66"/>
      <c r="G533" s="20"/>
      <c r="H533" s="20"/>
      <c r="I533" s="20"/>
      <c r="J533" s="50"/>
      <c r="K533" s="5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19"/>
      <c r="AI533" s="20"/>
      <c r="AJ533" s="20"/>
      <c r="AK533" s="20"/>
      <c r="AL533" s="20"/>
      <c r="AM533" s="24"/>
      <c r="AN533" s="59"/>
      <c r="AO533" s="12"/>
      <c r="AP533" s="60"/>
    </row>
    <row r="534" spans="1:42" ht="15.6" x14ac:dyDescent="0.3">
      <c r="A534" s="23"/>
      <c r="B534" s="20"/>
      <c r="C534" s="20"/>
      <c r="D534" s="20"/>
      <c r="E534" s="20"/>
      <c r="F534" s="66"/>
      <c r="G534" s="20"/>
      <c r="H534" s="20"/>
      <c r="I534" s="20"/>
      <c r="J534" s="50"/>
      <c r="K534" s="5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19"/>
      <c r="AI534" s="20"/>
      <c r="AJ534" s="20"/>
      <c r="AK534" s="20"/>
      <c r="AL534" s="20"/>
      <c r="AM534" s="24"/>
      <c r="AN534" s="59"/>
      <c r="AO534" s="12"/>
      <c r="AP534" s="60"/>
    </row>
    <row r="535" spans="1:42" ht="15.6" x14ac:dyDescent="0.3">
      <c r="A535" s="23"/>
      <c r="B535" s="20"/>
      <c r="C535" s="20"/>
      <c r="D535" s="20"/>
      <c r="E535" s="20"/>
      <c r="F535" s="66"/>
      <c r="G535" s="20"/>
      <c r="H535" s="20"/>
      <c r="I535" s="20"/>
      <c r="J535" s="50"/>
      <c r="K535" s="5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19"/>
      <c r="AI535" s="20"/>
      <c r="AJ535" s="20"/>
      <c r="AK535" s="20"/>
      <c r="AL535" s="20"/>
      <c r="AM535" s="24"/>
      <c r="AN535" s="59"/>
      <c r="AO535" s="12"/>
      <c r="AP535" s="60"/>
    </row>
    <row r="536" spans="1:42" ht="15.6" x14ac:dyDescent="0.3">
      <c r="A536" s="23"/>
      <c r="B536" s="20"/>
      <c r="C536" s="20"/>
      <c r="D536" s="20"/>
      <c r="E536" s="20"/>
      <c r="F536" s="66"/>
      <c r="G536" s="20"/>
      <c r="H536" s="20"/>
      <c r="I536" s="20"/>
      <c r="J536" s="50"/>
      <c r="K536" s="5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19"/>
      <c r="AI536" s="20"/>
      <c r="AJ536" s="20"/>
      <c r="AK536" s="20"/>
      <c r="AL536" s="20"/>
      <c r="AM536" s="24"/>
      <c r="AN536" s="59"/>
      <c r="AO536" s="12"/>
      <c r="AP536" s="60"/>
    </row>
    <row r="537" spans="1:42" ht="15.6" x14ac:dyDescent="0.3">
      <c r="A537" s="23"/>
      <c r="B537" s="20"/>
      <c r="C537" s="20"/>
      <c r="D537" s="20"/>
      <c r="E537" s="20"/>
      <c r="F537" s="66"/>
      <c r="G537" s="20"/>
      <c r="H537" s="20"/>
      <c r="I537" s="20"/>
      <c r="J537" s="50"/>
      <c r="K537" s="5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19"/>
      <c r="AI537" s="20"/>
      <c r="AJ537" s="20"/>
      <c r="AK537" s="20"/>
      <c r="AL537" s="20"/>
      <c r="AM537" s="24"/>
      <c r="AN537" s="59"/>
      <c r="AO537" s="12"/>
      <c r="AP537" s="60"/>
    </row>
    <row r="538" spans="1:42" ht="15.6" x14ac:dyDescent="0.3">
      <c r="A538" s="23"/>
      <c r="B538" s="20"/>
      <c r="C538" s="20"/>
      <c r="D538" s="20"/>
      <c r="E538" s="20"/>
      <c r="F538" s="66"/>
      <c r="G538" s="20"/>
      <c r="H538" s="20"/>
      <c r="I538" s="20"/>
      <c r="J538" s="50"/>
      <c r="K538" s="5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19"/>
      <c r="AI538" s="20"/>
      <c r="AJ538" s="20"/>
      <c r="AK538" s="20"/>
      <c r="AL538" s="20"/>
      <c r="AM538" s="24"/>
      <c r="AN538" s="59"/>
      <c r="AO538" s="12"/>
      <c r="AP538" s="60"/>
    </row>
    <row r="539" spans="1:42" ht="15.6" x14ac:dyDescent="0.3">
      <c r="A539" s="23"/>
      <c r="B539" s="20"/>
      <c r="C539" s="20"/>
      <c r="D539" s="20"/>
      <c r="E539" s="20"/>
      <c r="F539" s="66"/>
      <c r="G539" s="20"/>
      <c r="H539" s="20"/>
      <c r="I539" s="20"/>
      <c r="J539" s="50"/>
      <c r="K539" s="5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19"/>
      <c r="AI539" s="20"/>
      <c r="AJ539" s="20"/>
      <c r="AK539" s="20"/>
      <c r="AL539" s="20"/>
      <c r="AM539" s="24"/>
      <c r="AN539" s="59"/>
      <c r="AO539" s="12"/>
      <c r="AP539" s="60"/>
    </row>
    <row r="540" spans="1:42" ht="15.6" x14ac:dyDescent="0.3">
      <c r="A540" s="23"/>
      <c r="B540" s="20"/>
      <c r="C540" s="20"/>
      <c r="D540" s="20"/>
      <c r="E540" s="20"/>
      <c r="F540" s="66"/>
      <c r="G540" s="20"/>
      <c r="H540" s="20"/>
      <c r="I540" s="20"/>
      <c r="J540" s="50"/>
      <c r="K540" s="5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19"/>
      <c r="AI540" s="20"/>
      <c r="AJ540" s="20"/>
      <c r="AK540" s="20"/>
      <c r="AL540" s="20"/>
      <c r="AM540" s="24"/>
      <c r="AN540" s="59"/>
      <c r="AO540" s="12"/>
      <c r="AP540" s="60"/>
    </row>
    <row r="541" spans="1:42" ht="15.6" x14ac:dyDescent="0.3">
      <c r="A541" s="23"/>
      <c r="B541" s="20"/>
      <c r="C541" s="20"/>
      <c r="D541" s="20"/>
      <c r="E541" s="20"/>
      <c r="F541" s="66"/>
      <c r="G541" s="20"/>
      <c r="H541" s="20"/>
      <c r="I541" s="20"/>
      <c r="J541" s="50"/>
      <c r="K541" s="5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19"/>
      <c r="AI541" s="20"/>
      <c r="AJ541" s="20"/>
      <c r="AK541" s="20"/>
      <c r="AL541" s="20"/>
      <c r="AM541" s="24"/>
      <c r="AN541" s="59"/>
      <c r="AO541" s="12"/>
      <c r="AP541" s="60"/>
    </row>
    <row r="542" spans="1:42" ht="15.6" x14ac:dyDescent="0.3">
      <c r="A542" s="23"/>
      <c r="B542" s="20"/>
      <c r="C542" s="20"/>
      <c r="D542" s="20"/>
      <c r="E542" s="20"/>
      <c r="F542" s="66"/>
      <c r="G542" s="20"/>
      <c r="H542" s="20"/>
      <c r="I542" s="20"/>
      <c r="J542" s="50"/>
      <c r="K542" s="5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19"/>
      <c r="AI542" s="20"/>
      <c r="AJ542" s="20"/>
      <c r="AK542" s="20"/>
      <c r="AL542" s="20"/>
      <c r="AM542" s="24"/>
      <c r="AN542" s="59"/>
      <c r="AO542" s="12"/>
      <c r="AP542" s="60"/>
    </row>
    <row r="543" spans="1:42" ht="15.6" x14ac:dyDescent="0.3">
      <c r="A543" s="23"/>
      <c r="B543" s="20"/>
      <c r="C543" s="20"/>
      <c r="D543" s="20"/>
      <c r="E543" s="20"/>
      <c r="F543" s="66"/>
      <c r="G543" s="20"/>
      <c r="H543" s="20"/>
      <c r="I543" s="20"/>
      <c r="J543" s="50"/>
      <c r="K543" s="5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19"/>
      <c r="AI543" s="20"/>
      <c r="AJ543" s="20"/>
      <c r="AK543" s="20"/>
      <c r="AL543" s="20"/>
      <c r="AM543" s="24"/>
      <c r="AN543" s="59"/>
      <c r="AO543" s="12"/>
      <c r="AP543" s="60"/>
    </row>
    <row r="544" spans="1:42" ht="15.6" x14ac:dyDescent="0.3">
      <c r="A544" s="23"/>
      <c r="B544" s="20"/>
      <c r="C544" s="20"/>
      <c r="D544" s="20"/>
      <c r="E544" s="20"/>
      <c r="F544" s="66"/>
      <c r="G544" s="20"/>
      <c r="H544" s="20"/>
      <c r="I544" s="20"/>
      <c r="J544" s="50"/>
      <c r="K544" s="5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19"/>
      <c r="AI544" s="20"/>
      <c r="AJ544" s="20"/>
      <c r="AK544" s="20"/>
      <c r="AL544" s="20"/>
      <c r="AM544" s="24"/>
      <c r="AN544" s="59"/>
      <c r="AO544" s="12"/>
      <c r="AP544" s="60"/>
    </row>
    <row r="545" spans="1:42" ht="15.6" x14ac:dyDescent="0.3">
      <c r="A545" s="23"/>
      <c r="B545" s="20"/>
      <c r="C545" s="20"/>
      <c r="D545" s="20"/>
      <c r="E545" s="20"/>
      <c r="F545" s="66"/>
      <c r="G545" s="20"/>
      <c r="H545" s="20"/>
      <c r="I545" s="20"/>
      <c r="J545" s="50"/>
      <c r="K545" s="5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19"/>
      <c r="AI545" s="20"/>
      <c r="AJ545" s="20"/>
      <c r="AK545" s="20"/>
      <c r="AL545" s="20"/>
      <c r="AM545" s="24"/>
      <c r="AN545" s="59"/>
      <c r="AO545" s="12"/>
      <c r="AP545" s="60"/>
    </row>
    <row r="546" spans="1:42" ht="15.6" x14ac:dyDescent="0.3">
      <c r="A546" s="23"/>
      <c r="B546" s="20"/>
      <c r="C546" s="20"/>
      <c r="D546" s="20"/>
      <c r="E546" s="20"/>
      <c r="F546" s="66"/>
      <c r="G546" s="20"/>
      <c r="H546" s="20"/>
      <c r="I546" s="20"/>
      <c r="J546" s="50"/>
      <c r="K546" s="5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19"/>
      <c r="AI546" s="20"/>
      <c r="AJ546" s="20"/>
      <c r="AK546" s="20"/>
      <c r="AL546" s="20"/>
      <c r="AM546" s="24"/>
      <c r="AN546" s="59"/>
      <c r="AO546" s="12"/>
      <c r="AP546" s="60"/>
    </row>
    <row r="547" spans="1:42" ht="15.6" x14ac:dyDescent="0.3">
      <c r="A547" s="23"/>
      <c r="B547" s="20"/>
      <c r="C547" s="20"/>
      <c r="D547" s="20"/>
      <c r="E547" s="20"/>
      <c r="F547" s="66"/>
      <c r="G547" s="20"/>
      <c r="H547" s="20"/>
      <c r="I547" s="20"/>
      <c r="J547" s="50"/>
      <c r="K547" s="5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19"/>
      <c r="AI547" s="20"/>
      <c r="AJ547" s="20"/>
      <c r="AK547" s="20"/>
      <c r="AL547" s="20"/>
      <c r="AM547" s="24"/>
      <c r="AN547" s="59"/>
      <c r="AO547" s="12"/>
      <c r="AP547" s="60"/>
    </row>
    <row r="548" spans="1:42" ht="15.6" x14ac:dyDescent="0.3">
      <c r="A548" s="23"/>
      <c r="B548" s="20"/>
      <c r="C548" s="20"/>
      <c r="D548" s="20"/>
      <c r="E548" s="20"/>
      <c r="F548" s="66"/>
      <c r="G548" s="20"/>
      <c r="H548" s="20"/>
      <c r="I548" s="20"/>
      <c r="J548" s="50"/>
      <c r="K548" s="5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19"/>
      <c r="AI548" s="20"/>
      <c r="AJ548" s="20"/>
      <c r="AK548" s="20"/>
      <c r="AL548" s="20"/>
      <c r="AM548" s="24"/>
      <c r="AN548" s="59"/>
      <c r="AO548" s="12"/>
      <c r="AP548" s="60"/>
    </row>
    <row r="549" spans="1:42" ht="15.6" x14ac:dyDescent="0.3">
      <c r="A549" s="23"/>
      <c r="B549" s="20"/>
      <c r="C549" s="20"/>
      <c r="D549" s="20"/>
      <c r="E549" s="20"/>
      <c r="F549" s="66"/>
      <c r="G549" s="20"/>
      <c r="H549" s="20"/>
      <c r="I549" s="20"/>
      <c r="J549" s="50"/>
      <c r="K549" s="5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19"/>
      <c r="AI549" s="20"/>
      <c r="AJ549" s="20"/>
      <c r="AK549" s="20"/>
      <c r="AL549" s="20"/>
      <c r="AM549" s="24"/>
      <c r="AN549" s="59"/>
      <c r="AO549" s="12"/>
      <c r="AP549" s="60"/>
    </row>
    <row r="550" spans="1:42" ht="15.6" x14ac:dyDescent="0.3">
      <c r="A550" s="23"/>
      <c r="B550" s="20"/>
      <c r="C550" s="20"/>
      <c r="D550" s="20"/>
      <c r="E550" s="20"/>
      <c r="F550" s="66"/>
      <c r="G550" s="20"/>
      <c r="H550" s="20"/>
      <c r="I550" s="20"/>
      <c r="J550" s="50"/>
      <c r="K550" s="5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19"/>
      <c r="AI550" s="20"/>
      <c r="AJ550" s="20"/>
      <c r="AK550" s="20"/>
      <c r="AL550" s="20"/>
      <c r="AM550" s="24"/>
      <c r="AN550" s="59"/>
      <c r="AO550" s="12"/>
      <c r="AP550" s="60"/>
    </row>
    <row r="551" spans="1:42" ht="15.6" x14ac:dyDescent="0.3">
      <c r="A551" s="23"/>
      <c r="B551" s="20"/>
      <c r="C551" s="20"/>
      <c r="D551" s="20"/>
      <c r="E551" s="20"/>
      <c r="F551" s="66"/>
      <c r="G551" s="20"/>
      <c r="H551" s="20"/>
      <c r="I551" s="20"/>
      <c r="J551" s="50"/>
      <c r="K551" s="5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19"/>
      <c r="AI551" s="20"/>
      <c r="AJ551" s="20"/>
      <c r="AK551" s="20"/>
      <c r="AL551" s="20"/>
      <c r="AM551" s="24"/>
      <c r="AN551" s="59"/>
      <c r="AO551" s="12"/>
      <c r="AP551" s="60"/>
    </row>
    <row r="552" spans="1:42" ht="15.6" x14ac:dyDescent="0.3">
      <c r="A552" s="23"/>
      <c r="B552" s="20"/>
      <c r="C552" s="20"/>
      <c r="D552" s="20"/>
      <c r="E552" s="20"/>
      <c r="F552" s="66"/>
      <c r="G552" s="20"/>
      <c r="H552" s="20"/>
      <c r="I552" s="20"/>
      <c r="J552" s="50"/>
      <c r="K552" s="5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19"/>
      <c r="AI552" s="20"/>
      <c r="AJ552" s="20"/>
      <c r="AK552" s="20"/>
      <c r="AL552" s="20"/>
      <c r="AM552" s="24"/>
      <c r="AN552" s="59"/>
      <c r="AO552" s="12"/>
      <c r="AP552" s="60"/>
    </row>
    <row r="553" spans="1:42" ht="15.6" x14ac:dyDescent="0.3">
      <c r="A553" s="23"/>
      <c r="B553" s="20"/>
      <c r="C553" s="20"/>
      <c r="D553" s="20"/>
      <c r="E553" s="20"/>
      <c r="F553" s="66"/>
      <c r="G553" s="20"/>
      <c r="H553" s="20"/>
      <c r="I553" s="20"/>
      <c r="J553" s="50"/>
      <c r="K553" s="5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19"/>
      <c r="AI553" s="20"/>
      <c r="AJ553" s="20"/>
      <c r="AK553" s="20"/>
      <c r="AL553" s="20"/>
      <c r="AM553" s="24"/>
      <c r="AN553" s="59"/>
      <c r="AO553" s="12"/>
      <c r="AP553" s="60"/>
    </row>
    <row r="554" spans="1:42" ht="15.6" x14ac:dyDescent="0.3">
      <c r="A554" s="23"/>
      <c r="B554" s="20"/>
      <c r="C554" s="20"/>
      <c r="D554" s="20"/>
      <c r="E554" s="20"/>
      <c r="F554" s="66"/>
      <c r="G554" s="20"/>
      <c r="H554" s="20"/>
      <c r="I554" s="20"/>
      <c r="J554" s="50"/>
      <c r="K554" s="5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19"/>
      <c r="AI554" s="20"/>
      <c r="AJ554" s="20"/>
      <c r="AK554" s="20"/>
      <c r="AL554" s="20"/>
      <c r="AM554" s="24"/>
      <c r="AN554" s="59"/>
      <c r="AO554" s="12"/>
      <c r="AP554" s="60"/>
    </row>
    <row r="555" spans="1:42" ht="15.6" x14ac:dyDescent="0.3">
      <c r="A555" s="23"/>
      <c r="B555" s="20"/>
      <c r="C555" s="20"/>
      <c r="D555" s="20"/>
      <c r="E555" s="20"/>
      <c r="F555" s="66"/>
      <c r="G555" s="20"/>
      <c r="H555" s="20"/>
      <c r="I555" s="20"/>
      <c r="J555" s="50"/>
      <c r="K555" s="5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19"/>
      <c r="AI555" s="20"/>
      <c r="AJ555" s="20"/>
      <c r="AK555" s="20"/>
      <c r="AL555" s="20"/>
      <c r="AM555" s="24"/>
      <c r="AN555" s="59"/>
      <c r="AO555" s="12"/>
      <c r="AP555" s="60"/>
    </row>
    <row r="556" spans="1:42" ht="15.6" x14ac:dyDescent="0.3">
      <c r="A556" s="23"/>
      <c r="B556" s="20"/>
      <c r="C556" s="20"/>
      <c r="D556" s="20"/>
      <c r="E556" s="20"/>
      <c r="F556" s="66"/>
      <c r="G556" s="20"/>
      <c r="H556" s="20"/>
      <c r="I556" s="20"/>
      <c r="J556" s="50"/>
      <c r="K556" s="5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19"/>
      <c r="AI556" s="20"/>
      <c r="AJ556" s="20"/>
      <c r="AK556" s="20"/>
      <c r="AL556" s="20"/>
      <c r="AM556" s="24"/>
      <c r="AN556" s="59"/>
      <c r="AO556" s="12"/>
      <c r="AP556" s="60"/>
    </row>
    <row r="557" spans="1:42" ht="15.6" x14ac:dyDescent="0.3">
      <c r="A557" s="23"/>
      <c r="B557" s="20"/>
      <c r="C557" s="20"/>
      <c r="D557" s="20"/>
      <c r="E557" s="20"/>
      <c r="F557" s="66"/>
      <c r="G557" s="20"/>
      <c r="H557" s="20"/>
      <c r="I557" s="20"/>
      <c r="J557" s="50"/>
      <c r="K557" s="5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19"/>
      <c r="AI557" s="20"/>
      <c r="AJ557" s="20"/>
      <c r="AK557" s="20"/>
      <c r="AL557" s="20"/>
      <c r="AM557" s="24"/>
      <c r="AN557" s="59"/>
      <c r="AO557" s="12"/>
      <c r="AP557" s="60"/>
    </row>
    <row r="558" spans="1:42" ht="15.6" x14ac:dyDescent="0.3">
      <c r="A558" s="23"/>
      <c r="B558" s="20"/>
      <c r="C558" s="20"/>
      <c r="D558" s="20"/>
      <c r="E558" s="20"/>
      <c r="F558" s="66"/>
      <c r="G558" s="20"/>
      <c r="H558" s="20"/>
      <c r="I558" s="20"/>
      <c r="J558" s="50"/>
      <c r="K558" s="5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19"/>
      <c r="AI558" s="20"/>
      <c r="AJ558" s="20"/>
      <c r="AK558" s="20"/>
      <c r="AL558" s="20"/>
      <c r="AM558" s="24"/>
      <c r="AN558" s="59"/>
      <c r="AO558" s="12"/>
      <c r="AP558" s="60"/>
    </row>
    <row r="559" spans="1:42" ht="15.6" x14ac:dyDescent="0.3">
      <c r="A559" s="23"/>
      <c r="B559" s="20"/>
      <c r="C559" s="20"/>
      <c r="D559" s="20"/>
      <c r="E559" s="20"/>
      <c r="F559" s="66"/>
      <c r="G559" s="20"/>
      <c r="H559" s="20"/>
      <c r="I559" s="20"/>
      <c r="J559" s="50"/>
      <c r="K559" s="5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19"/>
      <c r="AI559" s="20"/>
      <c r="AJ559" s="20"/>
      <c r="AK559" s="20"/>
      <c r="AL559" s="20"/>
      <c r="AM559" s="24"/>
      <c r="AN559" s="59"/>
      <c r="AO559" s="12"/>
      <c r="AP559" s="60"/>
    </row>
    <row r="560" spans="1:42" ht="15.6" x14ac:dyDescent="0.3">
      <c r="A560" s="23"/>
      <c r="B560" s="20"/>
      <c r="C560" s="20"/>
      <c r="D560" s="20"/>
      <c r="E560" s="20"/>
      <c r="F560" s="66"/>
      <c r="G560" s="20"/>
      <c r="H560" s="20"/>
      <c r="I560" s="20"/>
      <c r="J560" s="50"/>
      <c r="K560" s="5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19"/>
      <c r="AI560" s="20"/>
      <c r="AJ560" s="20"/>
      <c r="AK560" s="20"/>
      <c r="AL560" s="20"/>
      <c r="AM560" s="24"/>
      <c r="AN560" s="59"/>
      <c r="AO560" s="12"/>
      <c r="AP560" s="60"/>
    </row>
    <row r="561" spans="1:42" ht="15.6" x14ac:dyDescent="0.3">
      <c r="A561" s="23"/>
      <c r="B561" s="20"/>
      <c r="C561" s="20"/>
      <c r="D561" s="20"/>
      <c r="E561" s="20"/>
      <c r="F561" s="66"/>
      <c r="G561" s="20"/>
      <c r="H561" s="20"/>
      <c r="I561" s="20"/>
      <c r="J561" s="50"/>
      <c r="K561" s="5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19"/>
      <c r="AI561" s="20"/>
      <c r="AJ561" s="20"/>
      <c r="AK561" s="20"/>
      <c r="AL561" s="20"/>
      <c r="AM561" s="24"/>
      <c r="AN561" s="59"/>
      <c r="AO561" s="12"/>
      <c r="AP561" s="60"/>
    </row>
    <row r="562" spans="1:42" ht="15.6" x14ac:dyDescent="0.3">
      <c r="A562" s="23"/>
      <c r="B562" s="20"/>
      <c r="C562" s="20"/>
      <c r="D562" s="20"/>
      <c r="E562" s="20"/>
      <c r="F562" s="66"/>
      <c r="G562" s="20"/>
      <c r="H562" s="20"/>
      <c r="I562" s="20"/>
      <c r="J562" s="50"/>
      <c r="K562" s="5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19"/>
      <c r="AI562" s="20"/>
      <c r="AJ562" s="20"/>
      <c r="AK562" s="20"/>
      <c r="AL562" s="20"/>
      <c r="AM562" s="24"/>
      <c r="AN562" s="59"/>
      <c r="AO562" s="12"/>
      <c r="AP562" s="60"/>
    </row>
    <row r="563" spans="1:42" ht="15.6" x14ac:dyDescent="0.3">
      <c r="A563" s="23"/>
      <c r="B563" s="20"/>
      <c r="C563" s="20"/>
      <c r="D563" s="20"/>
      <c r="E563" s="20"/>
      <c r="F563" s="66"/>
      <c r="G563" s="20"/>
      <c r="H563" s="20"/>
      <c r="I563" s="20"/>
      <c r="J563" s="50"/>
      <c r="K563" s="5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19"/>
      <c r="AI563" s="20"/>
      <c r="AJ563" s="20"/>
      <c r="AK563" s="20"/>
      <c r="AL563" s="20"/>
      <c r="AM563" s="24"/>
      <c r="AN563" s="59"/>
      <c r="AO563" s="12"/>
      <c r="AP563" s="60"/>
    </row>
    <row r="564" spans="1:42" ht="15.6" x14ac:dyDescent="0.3">
      <c r="A564" s="23"/>
      <c r="B564" s="20"/>
      <c r="C564" s="20"/>
      <c r="D564" s="20"/>
      <c r="E564" s="20"/>
      <c r="F564" s="66"/>
      <c r="G564" s="20"/>
      <c r="H564" s="20"/>
      <c r="I564" s="20"/>
      <c r="J564" s="50"/>
      <c r="K564" s="5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19"/>
      <c r="AI564" s="20"/>
      <c r="AJ564" s="20"/>
      <c r="AK564" s="20"/>
      <c r="AL564" s="20"/>
      <c r="AM564" s="24"/>
      <c r="AN564" s="59"/>
      <c r="AO564" s="12"/>
      <c r="AP564" s="60"/>
    </row>
    <row r="565" spans="1:42" ht="15.6" x14ac:dyDescent="0.3">
      <c r="A565" s="23"/>
      <c r="B565" s="20"/>
      <c r="C565" s="20"/>
      <c r="D565" s="20"/>
      <c r="E565" s="20"/>
      <c r="F565" s="66"/>
      <c r="G565" s="20"/>
      <c r="H565" s="20"/>
      <c r="I565" s="20"/>
      <c r="J565" s="50"/>
      <c r="K565" s="5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19"/>
      <c r="AI565" s="20"/>
      <c r="AJ565" s="20"/>
      <c r="AK565" s="20"/>
      <c r="AL565" s="20"/>
      <c r="AM565" s="24"/>
      <c r="AN565" s="59"/>
      <c r="AO565" s="12"/>
      <c r="AP565" s="60"/>
    </row>
    <row r="566" spans="1:42" ht="15.6" x14ac:dyDescent="0.3">
      <c r="A566" s="23"/>
      <c r="B566" s="20"/>
      <c r="C566" s="20"/>
      <c r="D566" s="20"/>
      <c r="E566" s="20"/>
      <c r="F566" s="66"/>
      <c r="G566" s="20"/>
      <c r="H566" s="20"/>
      <c r="I566" s="20"/>
      <c r="J566" s="50"/>
      <c r="K566" s="5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19"/>
      <c r="AI566" s="20"/>
      <c r="AJ566" s="20"/>
      <c r="AK566" s="20"/>
      <c r="AL566" s="20"/>
      <c r="AM566" s="24"/>
      <c r="AN566" s="59"/>
      <c r="AO566" s="12"/>
      <c r="AP566" s="60"/>
    </row>
    <row r="567" spans="1:42" ht="15.6" x14ac:dyDescent="0.3">
      <c r="A567" s="23"/>
      <c r="B567" s="20"/>
      <c r="C567" s="20"/>
      <c r="D567" s="20"/>
      <c r="E567" s="20"/>
      <c r="F567" s="66"/>
      <c r="G567" s="20"/>
      <c r="H567" s="20"/>
      <c r="I567" s="20"/>
      <c r="J567" s="50"/>
      <c r="K567" s="5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19"/>
      <c r="AI567" s="20"/>
      <c r="AJ567" s="20"/>
      <c r="AK567" s="20"/>
      <c r="AL567" s="20"/>
      <c r="AM567" s="24"/>
      <c r="AN567" s="59"/>
      <c r="AO567" s="12"/>
      <c r="AP567" s="60"/>
    </row>
    <row r="568" spans="1:42" ht="15.6" x14ac:dyDescent="0.3">
      <c r="A568" s="23"/>
      <c r="B568" s="20"/>
      <c r="C568" s="20"/>
      <c r="D568" s="20"/>
      <c r="E568" s="20"/>
      <c r="F568" s="66"/>
      <c r="G568" s="20"/>
      <c r="H568" s="20"/>
      <c r="I568" s="20"/>
      <c r="J568" s="50"/>
      <c r="K568" s="5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19"/>
      <c r="AI568" s="20"/>
      <c r="AJ568" s="20"/>
      <c r="AK568" s="20"/>
      <c r="AL568" s="20"/>
      <c r="AM568" s="24"/>
      <c r="AN568" s="59"/>
      <c r="AO568" s="12"/>
      <c r="AP568" s="60"/>
    </row>
    <row r="569" spans="1:42" ht="15.6" x14ac:dyDescent="0.3">
      <c r="A569" s="23"/>
      <c r="B569" s="20"/>
      <c r="C569" s="20"/>
      <c r="D569" s="20"/>
      <c r="E569" s="20"/>
      <c r="F569" s="66"/>
      <c r="G569" s="20"/>
      <c r="H569" s="20"/>
      <c r="I569" s="20"/>
      <c r="J569" s="50"/>
      <c r="K569" s="5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19"/>
      <c r="AI569" s="20"/>
      <c r="AJ569" s="20"/>
      <c r="AK569" s="20"/>
      <c r="AL569" s="20"/>
      <c r="AM569" s="24"/>
      <c r="AN569" s="59"/>
      <c r="AO569" s="12"/>
      <c r="AP569" s="60"/>
    </row>
    <row r="570" spans="1:42" ht="15.6" x14ac:dyDescent="0.3">
      <c r="A570" s="23"/>
      <c r="B570" s="20"/>
      <c r="C570" s="20"/>
      <c r="D570" s="20"/>
      <c r="E570" s="20"/>
      <c r="F570" s="66"/>
      <c r="G570" s="20"/>
      <c r="H570" s="20"/>
      <c r="I570" s="20"/>
      <c r="J570" s="50"/>
      <c r="K570" s="5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19"/>
      <c r="AI570" s="20"/>
      <c r="AJ570" s="20"/>
      <c r="AK570" s="20"/>
      <c r="AL570" s="20"/>
      <c r="AM570" s="24"/>
      <c r="AN570" s="59"/>
      <c r="AO570" s="12"/>
      <c r="AP570" s="60"/>
    </row>
    <row r="571" spans="1:42" ht="15.6" x14ac:dyDescent="0.3">
      <c r="A571" s="23"/>
      <c r="B571" s="20"/>
      <c r="C571" s="20"/>
      <c r="D571" s="20"/>
      <c r="E571" s="20"/>
      <c r="F571" s="66"/>
      <c r="G571" s="20"/>
      <c r="H571" s="20"/>
      <c r="I571" s="20"/>
      <c r="J571" s="50"/>
      <c r="K571" s="5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19"/>
      <c r="AI571" s="20"/>
      <c r="AJ571" s="20"/>
      <c r="AK571" s="20"/>
      <c r="AL571" s="20"/>
      <c r="AM571" s="24"/>
      <c r="AN571" s="59"/>
      <c r="AO571" s="12"/>
      <c r="AP571" s="60"/>
    </row>
    <row r="572" spans="1:42" ht="15.6" x14ac:dyDescent="0.3">
      <c r="A572" s="23"/>
      <c r="B572" s="20"/>
      <c r="C572" s="20"/>
      <c r="D572" s="20"/>
      <c r="E572" s="20"/>
      <c r="F572" s="66"/>
      <c r="G572" s="20"/>
      <c r="H572" s="20"/>
      <c r="I572" s="20"/>
      <c r="J572" s="50"/>
      <c r="K572" s="5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19"/>
      <c r="AI572" s="20"/>
      <c r="AJ572" s="20"/>
      <c r="AK572" s="20"/>
      <c r="AL572" s="20"/>
      <c r="AM572" s="24"/>
      <c r="AN572" s="59"/>
      <c r="AO572" s="12"/>
      <c r="AP572" s="60"/>
    </row>
    <row r="573" spans="1:42" ht="15.6" x14ac:dyDescent="0.3">
      <c r="A573" s="23"/>
      <c r="B573" s="20"/>
      <c r="C573" s="20"/>
      <c r="D573" s="20"/>
      <c r="E573" s="20"/>
      <c r="F573" s="66"/>
      <c r="G573" s="20"/>
      <c r="H573" s="20"/>
      <c r="I573" s="20"/>
      <c r="J573" s="50"/>
      <c r="K573" s="5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19"/>
      <c r="AI573" s="20"/>
      <c r="AJ573" s="20"/>
      <c r="AK573" s="20"/>
      <c r="AL573" s="20"/>
      <c r="AM573" s="24"/>
      <c r="AN573" s="59"/>
      <c r="AO573" s="12"/>
      <c r="AP573" s="60"/>
    </row>
    <row r="574" spans="1:42" ht="15.6" x14ac:dyDescent="0.3">
      <c r="A574" s="23"/>
      <c r="B574" s="20"/>
      <c r="C574" s="20"/>
      <c r="D574" s="20"/>
      <c r="E574" s="20"/>
      <c r="F574" s="66"/>
      <c r="G574" s="20"/>
      <c r="H574" s="20"/>
      <c r="I574" s="20"/>
      <c r="J574" s="50"/>
      <c r="K574" s="5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19"/>
      <c r="AI574" s="20"/>
      <c r="AJ574" s="20"/>
      <c r="AK574" s="20"/>
      <c r="AL574" s="20"/>
      <c r="AM574" s="24"/>
      <c r="AN574" s="59"/>
      <c r="AO574" s="12"/>
      <c r="AP574" s="60"/>
    </row>
    <row r="575" spans="1:42" ht="15.6" x14ac:dyDescent="0.3">
      <c r="A575" s="23"/>
      <c r="B575" s="20"/>
      <c r="C575" s="20"/>
      <c r="D575" s="20"/>
      <c r="E575" s="20"/>
      <c r="F575" s="66"/>
      <c r="G575" s="20"/>
      <c r="H575" s="20"/>
      <c r="I575" s="20"/>
      <c r="J575" s="50"/>
      <c r="K575" s="5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19"/>
      <c r="AI575" s="20"/>
      <c r="AJ575" s="20"/>
      <c r="AK575" s="20"/>
      <c r="AL575" s="20"/>
      <c r="AM575" s="24"/>
      <c r="AN575" s="59"/>
      <c r="AO575" s="12"/>
      <c r="AP575" s="60"/>
    </row>
    <row r="576" spans="1:42" ht="15.6" x14ac:dyDescent="0.3">
      <c r="A576" s="23"/>
      <c r="B576" s="20"/>
      <c r="C576" s="20"/>
      <c r="D576" s="20"/>
      <c r="E576" s="20"/>
      <c r="F576" s="66"/>
      <c r="G576" s="20"/>
      <c r="H576" s="20"/>
      <c r="I576" s="20"/>
      <c r="J576" s="50"/>
      <c r="K576" s="5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19"/>
      <c r="AI576" s="20"/>
      <c r="AJ576" s="20"/>
      <c r="AK576" s="20"/>
      <c r="AL576" s="20"/>
      <c r="AM576" s="24"/>
      <c r="AN576" s="59"/>
      <c r="AO576" s="12"/>
      <c r="AP576" s="60"/>
    </row>
    <row r="577" spans="1:42" ht="15.6" x14ac:dyDescent="0.3">
      <c r="A577" s="23"/>
      <c r="B577" s="20"/>
      <c r="C577" s="20"/>
      <c r="D577" s="20"/>
      <c r="E577" s="20"/>
      <c r="F577" s="66"/>
      <c r="G577" s="20"/>
      <c r="H577" s="20"/>
      <c r="I577" s="20"/>
      <c r="J577" s="50"/>
      <c r="K577" s="5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19"/>
      <c r="AI577" s="20"/>
      <c r="AJ577" s="20"/>
      <c r="AK577" s="20"/>
      <c r="AL577" s="20"/>
      <c r="AM577" s="24"/>
      <c r="AN577" s="59"/>
      <c r="AO577" s="12"/>
      <c r="AP577" s="60"/>
    </row>
    <row r="578" spans="1:42" ht="15.6" x14ac:dyDescent="0.3">
      <c r="A578" s="23"/>
      <c r="B578" s="20"/>
      <c r="C578" s="20"/>
      <c r="D578" s="20"/>
      <c r="E578" s="20"/>
      <c r="F578" s="66"/>
      <c r="G578" s="20"/>
      <c r="H578" s="20"/>
      <c r="I578" s="20"/>
      <c r="J578" s="50"/>
      <c r="K578" s="5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19"/>
      <c r="AI578" s="20"/>
      <c r="AJ578" s="20"/>
      <c r="AK578" s="20"/>
      <c r="AL578" s="20"/>
      <c r="AM578" s="24"/>
      <c r="AN578" s="59"/>
      <c r="AO578" s="12"/>
      <c r="AP578" s="60"/>
    </row>
    <row r="579" spans="1:42" ht="15.6" x14ac:dyDescent="0.3">
      <c r="A579" s="23"/>
      <c r="B579" s="20"/>
      <c r="C579" s="20"/>
      <c r="D579" s="20"/>
      <c r="E579" s="20"/>
      <c r="F579" s="66"/>
      <c r="G579" s="20"/>
      <c r="H579" s="20"/>
      <c r="I579" s="20"/>
      <c r="J579" s="50"/>
      <c r="K579" s="5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19"/>
      <c r="AI579" s="20"/>
      <c r="AJ579" s="20"/>
      <c r="AK579" s="20"/>
      <c r="AL579" s="20"/>
      <c r="AM579" s="24"/>
      <c r="AN579" s="59"/>
      <c r="AO579" s="12"/>
      <c r="AP579" s="60"/>
    </row>
    <row r="580" spans="1:42" ht="15.6" x14ac:dyDescent="0.3">
      <c r="A580" s="23"/>
      <c r="B580" s="20"/>
      <c r="C580" s="20"/>
      <c r="D580" s="20"/>
      <c r="E580" s="20"/>
      <c r="F580" s="66"/>
      <c r="G580" s="20"/>
      <c r="H580" s="20"/>
      <c r="I580" s="20"/>
      <c r="J580" s="50"/>
      <c r="K580" s="5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19"/>
      <c r="AI580" s="20"/>
      <c r="AJ580" s="20"/>
      <c r="AK580" s="20"/>
      <c r="AL580" s="20"/>
      <c r="AM580" s="24"/>
      <c r="AN580" s="59"/>
      <c r="AO580" s="12"/>
      <c r="AP580" s="60"/>
    </row>
    <row r="581" spans="1:42" ht="15.6" x14ac:dyDescent="0.3">
      <c r="A581" s="23"/>
      <c r="B581" s="20"/>
      <c r="C581" s="20"/>
      <c r="D581" s="20"/>
      <c r="E581" s="20"/>
      <c r="F581" s="66"/>
      <c r="G581" s="20"/>
      <c r="H581" s="20"/>
      <c r="I581" s="20"/>
      <c r="J581" s="50"/>
      <c r="K581" s="5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19"/>
      <c r="AI581" s="20"/>
      <c r="AJ581" s="20"/>
      <c r="AK581" s="20"/>
      <c r="AL581" s="20"/>
      <c r="AM581" s="24"/>
      <c r="AN581" s="59"/>
      <c r="AO581" s="12"/>
      <c r="AP581" s="60"/>
    </row>
    <row r="582" spans="1:42" ht="15.6" x14ac:dyDescent="0.3">
      <c r="A582" s="23"/>
      <c r="B582" s="20"/>
      <c r="C582" s="20"/>
      <c r="D582" s="20"/>
      <c r="E582" s="20"/>
      <c r="F582" s="66"/>
      <c r="G582" s="20"/>
      <c r="H582" s="20"/>
      <c r="I582" s="20"/>
      <c r="J582" s="50"/>
      <c r="K582" s="5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19"/>
      <c r="AI582" s="20"/>
      <c r="AJ582" s="20"/>
      <c r="AK582" s="20"/>
      <c r="AL582" s="20"/>
      <c r="AM582" s="24"/>
      <c r="AN582" s="59"/>
      <c r="AO582" s="12"/>
      <c r="AP582" s="60"/>
    </row>
    <row r="583" spans="1:42" ht="15.6" x14ac:dyDescent="0.3">
      <c r="A583" s="23"/>
      <c r="B583" s="20"/>
      <c r="C583" s="20"/>
      <c r="D583" s="20"/>
      <c r="E583" s="20"/>
      <c r="F583" s="66"/>
      <c r="G583" s="20"/>
      <c r="H583" s="20"/>
      <c r="I583" s="20"/>
      <c r="J583" s="50"/>
      <c r="K583" s="5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19"/>
      <c r="AI583" s="20"/>
      <c r="AJ583" s="20"/>
      <c r="AK583" s="20"/>
      <c r="AL583" s="20"/>
      <c r="AM583" s="24"/>
      <c r="AN583" s="59"/>
      <c r="AO583" s="12"/>
      <c r="AP583" s="60"/>
    </row>
    <row r="584" spans="1:42" ht="15.6" x14ac:dyDescent="0.3">
      <c r="A584" s="23"/>
      <c r="B584" s="20"/>
      <c r="C584" s="20"/>
      <c r="D584" s="20"/>
      <c r="E584" s="20"/>
      <c r="F584" s="66"/>
      <c r="G584" s="20"/>
      <c r="H584" s="20"/>
      <c r="I584" s="20"/>
      <c r="J584" s="50"/>
      <c r="K584" s="5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19"/>
      <c r="AI584" s="20"/>
      <c r="AJ584" s="20"/>
      <c r="AK584" s="20"/>
      <c r="AL584" s="20"/>
      <c r="AM584" s="24"/>
      <c r="AN584" s="59"/>
      <c r="AO584" s="12"/>
      <c r="AP584" s="60"/>
    </row>
    <row r="585" spans="1:42" ht="15.6" x14ac:dyDescent="0.3">
      <c r="A585" s="23"/>
      <c r="B585" s="20"/>
      <c r="C585" s="20"/>
      <c r="D585" s="20"/>
      <c r="E585" s="20"/>
      <c r="F585" s="66"/>
      <c r="G585" s="20"/>
      <c r="H585" s="20"/>
      <c r="I585" s="20"/>
      <c r="J585" s="50"/>
      <c r="K585" s="5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19"/>
      <c r="AI585" s="20"/>
      <c r="AJ585" s="20"/>
      <c r="AK585" s="20"/>
      <c r="AL585" s="20"/>
      <c r="AM585" s="24"/>
      <c r="AN585" s="59"/>
      <c r="AO585" s="12"/>
      <c r="AP585" s="60"/>
    </row>
    <row r="586" spans="1:42" ht="15.6" x14ac:dyDescent="0.3">
      <c r="A586" s="23"/>
      <c r="B586" s="20"/>
      <c r="C586" s="20"/>
      <c r="D586" s="20"/>
      <c r="E586" s="20"/>
      <c r="F586" s="66"/>
      <c r="G586" s="20"/>
      <c r="H586" s="20"/>
      <c r="I586" s="20"/>
      <c r="J586" s="50"/>
      <c r="K586" s="5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19"/>
      <c r="AI586" s="20"/>
      <c r="AJ586" s="20"/>
      <c r="AK586" s="20"/>
      <c r="AL586" s="20"/>
      <c r="AM586" s="24"/>
      <c r="AN586" s="59"/>
      <c r="AO586" s="12"/>
      <c r="AP586" s="60"/>
    </row>
    <row r="587" spans="1:42" ht="15.6" x14ac:dyDescent="0.3">
      <c r="A587" s="23"/>
      <c r="B587" s="20"/>
      <c r="C587" s="20"/>
      <c r="D587" s="20"/>
      <c r="E587" s="20"/>
      <c r="F587" s="66"/>
      <c r="G587" s="20"/>
      <c r="H587" s="20"/>
      <c r="I587" s="20"/>
      <c r="J587" s="50"/>
      <c r="K587" s="5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19"/>
      <c r="AI587" s="20"/>
      <c r="AJ587" s="20"/>
      <c r="AK587" s="20"/>
      <c r="AL587" s="20"/>
      <c r="AM587" s="24"/>
      <c r="AN587" s="59"/>
      <c r="AO587" s="12"/>
      <c r="AP587" s="60"/>
    </row>
    <row r="588" spans="1:42" ht="15.6" x14ac:dyDescent="0.3">
      <c r="A588" s="23"/>
      <c r="B588" s="20"/>
      <c r="C588" s="20"/>
      <c r="D588" s="20"/>
      <c r="E588" s="20"/>
      <c r="F588" s="66"/>
      <c r="G588" s="20"/>
      <c r="H588" s="20"/>
      <c r="I588" s="20"/>
      <c r="J588" s="50"/>
      <c r="K588" s="5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19"/>
      <c r="AI588" s="20"/>
      <c r="AJ588" s="20"/>
      <c r="AK588" s="20"/>
      <c r="AL588" s="20"/>
      <c r="AM588" s="24"/>
      <c r="AN588" s="59"/>
      <c r="AO588" s="12"/>
      <c r="AP588" s="60"/>
    </row>
    <row r="589" spans="1:42" ht="15.6" x14ac:dyDescent="0.3">
      <c r="A589" s="23"/>
      <c r="B589" s="20"/>
      <c r="C589" s="20"/>
      <c r="D589" s="20"/>
      <c r="E589" s="20"/>
      <c r="F589" s="66"/>
      <c r="G589" s="20"/>
      <c r="H589" s="20"/>
      <c r="I589" s="20"/>
      <c r="J589" s="50"/>
      <c r="K589" s="5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19"/>
      <c r="AI589" s="20"/>
      <c r="AJ589" s="20"/>
      <c r="AK589" s="20"/>
      <c r="AL589" s="20"/>
      <c r="AM589" s="24"/>
      <c r="AN589" s="59"/>
      <c r="AO589" s="12"/>
      <c r="AP589" s="60"/>
    </row>
    <row r="590" spans="1:42" ht="15.6" x14ac:dyDescent="0.3">
      <c r="A590" s="23"/>
      <c r="B590" s="20"/>
      <c r="C590" s="20"/>
      <c r="D590" s="20"/>
      <c r="E590" s="20"/>
      <c r="F590" s="66"/>
      <c r="G590" s="20"/>
      <c r="H590" s="20"/>
      <c r="I590" s="20"/>
      <c r="J590" s="50"/>
      <c r="K590" s="5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19"/>
      <c r="AI590" s="20"/>
      <c r="AJ590" s="20"/>
      <c r="AK590" s="20"/>
      <c r="AL590" s="20"/>
      <c r="AM590" s="24"/>
      <c r="AN590" s="59"/>
      <c r="AO590" s="12"/>
      <c r="AP590" s="60"/>
    </row>
    <row r="591" spans="1:42" ht="15.6" x14ac:dyDescent="0.3">
      <c r="A591" s="23"/>
      <c r="B591" s="20"/>
      <c r="C591" s="20"/>
      <c r="D591" s="20"/>
      <c r="E591" s="20"/>
      <c r="F591" s="66"/>
      <c r="G591" s="20"/>
      <c r="H591" s="20"/>
      <c r="I591" s="20"/>
      <c r="J591" s="50"/>
      <c r="K591" s="5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19"/>
      <c r="AI591" s="20"/>
      <c r="AJ591" s="20"/>
      <c r="AK591" s="20"/>
      <c r="AL591" s="20"/>
      <c r="AM591" s="24"/>
      <c r="AN591" s="59"/>
      <c r="AO591" s="12"/>
      <c r="AP591" s="60"/>
    </row>
    <row r="592" spans="1:42" ht="15.6" x14ac:dyDescent="0.3">
      <c r="A592" s="23"/>
      <c r="B592" s="20"/>
      <c r="C592" s="20"/>
      <c r="D592" s="20"/>
      <c r="E592" s="20"/>
      <c r="F592" s="66"/>
      <c r="G592" s="20"/>
      <c r="H592" s="20"/>
      <c r="I592" s="20"/>
      <c r="J592" s="50"/>
      <c r="K592" s="5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19"/>
      <c r="AI592" s="20"/>
      <c r="AJ592" s="20"/>
      <c r="AK592" s="20"/>
      <c r="AL592" s="20"/>
      <c r="AM592" s="24"/>
      <c r="AN592" s="59"/>
      <c r="AO592" s="12"/>
      <c r="AP592" s="60"/>
    </row>
    <row r="593" spans="1:42" ht="15.6" x14ac:dyDescent="0.3">
      <c r="A593" s="23"/>
      <c r="B593" s="20"/>
      <c r="C593" s="20"/>
      <c r="D593" s="20"/>
      <c r="E593" s="20"/>
      <c r="F593" s="66"/>
      <c r="G593" s="20"/>
      <c r="H593" s="20"/>
      <c r="I593" s="20"/>
      <c r="J593" s="50"/>
      <c r="K593" s="5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19"/>
      <c r="AI593" s="20"/>
      <c r="AJ593" s="20"/>
      <c r="AK593" s="20"/>
      <c r="AL593" s="20"/>
      <c r="AM593" s="24"/>
      <c r="AN593" s="59"/>
      <c r="AO593" s="12"/>
      <c r="AP593" s="60"/>
    </row>
    <row r="594" spans="1:42" ht="15.6" x14ac:dyDescent="0.3">
      <c r="A594" s="23"/>
      <c r="B594" s="20"/>
      <c r="C594" s="20"/>
      <c r="D594" s="20"/>
      <c r="E594" s="20"/>
      <c r="F594" s="66"/>
      <c r="G594" s="20"/>
      <c r="H594" s="20"/>
      <c r="I594" s="20"/>
      <c r="J594" s="50"/>
      <c r="K594" s="5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19"/>
      <c r="AI594" s="20"/>
      <c r="AJ594" s="20"/>
      <c r="AK594" s="20"/>
      <c r="AL594" s="20"/>
      <c r="AM594" s="24"/>
      <c r="AN594" s="59"/>
      <c r="AO594" s="12"/>
      <c r="AP594" s="60"/>
    </row>
    <row r="595" spans="1:42" ht="15.6" x14ac:dyDescent="0.3">
      <c r="A595" s="23"/>
      <c r="B595" s="20"/>
      <c r="C595" s="20"/>
      <c r="D595" s="20"/>
      <c r="E595" s="20"/>
      <c r="F595" s="66"/>
      <c r="G595" s="20"/>
      <c r="H595" s="20"/>
      <c r="I595" s="20"/>
      <c r="J595" s="50"/>
      <c r="K595" s="5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19"/>
      <c r="AI595" s="20"/>
      <c r="AJ595" s="20"/>
      <c r="AK595" s="20"/>
      <c r="AL595" s="20"/>
      <c r="AM595" s="24"/>
      <c r="AN595" s="59"/>
      <c r="AO595" s="12"/>
      <c r="AP595" s="60"/>
    </row>
    <row r="596" spans="1:42" ht="15.6" x14ac:dyDescent="0.3">
      <c r="A596" s="23"/>
      <c r="B596" s="20"/>
      <c r="C596" s="20"/>
      <c r="D596" s="20"/>
      <c r="E596" s="20"/>
      <c r="F596" s="66"/>
      <c r="G596" s="20"/>
      <c r="H596" s="20"/>
      <c r="I596" s="20"/>
      <c r="J596" s="50"/>
      <c r="K596" s="5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19"/>
      <c r="AI596" s="20"/>
      <c r="AJ596" s="20"/>
      <c r="AK596" s="20"/>
      <c r="AL596" s="20"/>
      <c r="AM596" s="24"/>
      <c r="AN596" s="59"/>
      <c r="AO596" s="12"/>
      <c r="AP596" s="60"/>
    </row>
    <row r="597" spans="1:42" ht="15.6" x14ac:dyDescent="0.3">
      <c r="A597" s="23"/>
      <c r="B597" s="20"/>
      <c r="C597" s="20"/>
      <c r="D597" s="20"/>
      <c r="E597" s="20"/>
      <c r="F597" s="66"/>
      <c r="G597" s="20"/>
      <c r="H597" s="20"/>
      <c r="I597" s="20"/>
      <c r="J597" s="50"/>
      <c r="K597" s="5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19"/>
      <c r="AI597" s="20"/>
      <c r="AJ597" s="20"/>
      <c r="AK597" s="20"/>
      <c r="AL597" s="20"/>
      <c r="AM597" s="24"/>
      <c r="AN597" s="59"/>
      <c r="AO597" s="12"/>
      <c r="AP597" s="60"/>
    </row>
    <row r="598" spans="1:42" ht="15.6" x14ac:dyDescent="0.3">
      <c r="A598" s="23"/>
      <c r="B598" s="20"/>
      <c r="C598" s="20"/>
      <c r="D598" s="20"/>
      <c r="E598" s="20"/>
      <c r="F598" s="66"/>
      <c r="G598" s="20"/>
      <c r="H598" s="20"/>
      <c r="I598" s="20"/>
      <c r="J598" s="50"/>
      <c r="K598" s="5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19"/>
      <c r="AI598" s="20"/>
      <c r="AJ598" s="20"/>
      <c r="AK598" s="20"/>
      <c r="AL598" s="20"/>
      <c r="AM598" s="24"/>
      <c r="AN598" s="59"/>
      <c r="AO598" s="12"/>
      <c r="AP598" s="60"/>
    </row>
    <row r="599" spans="1:42" ht="15.6" x14ac:dyDescent="0.3">
      <c r="A599" s="23"/>
      <c r="B599" s="20"/>
      <c r="C599" s="20"/>
      <c r="D599" s="20"/>
      <c r="E599" s="20"/>
      <c r="F599" s="66"/>
      <c r="G599" s="20"/>
      <c r="H599" s="20"/>
      <c r="I599" s="20"/>
      <c r="J599" s="50"/>
      <c r="K599" s="5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19"/>
      <c r="AI599" s="20"/>
      <c r="AJ599" s="20"/>
      <c r="AK599" s="20"/>
      <c r="AL599" s="20"/>
      <c r="AM599" s="24"/>
      <c r="AN599" s="59"/>
      <c r="AO599" s="12"/>
      <c r="AP599" s="60"/>
    </row>
    <row r="600" spans="1:42" ht="15.6" x14ac:dyDescent="0.3">
      <c r="A600" s="23"/>
      <c r="B600" s="20"/>
      <c r="C600" s="20"/>
      <c r="D600" s="20"/>
      <c r="E600" s="20"/>
      <c r="F600" s="66"/>
      <c r="G600" s="20"/>
      <c r="H600" s="20"/>
      <c r="I600" s="20"/>
      <c r="J600" s="50"/>
      <c r="K600" s="5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19"/>
      <c r="AI600" s="20"/>
      <c r="AJ600" s="20"/>
      <c r="AK600" s="20"/>
      <c r="AL600" s="20"/>
      <c r="AM600" s="24"/>
      <c r="AN600" s="59"/>
      <c r="AO600" s="12"/>
      <c r="AP600" s="60"/>
    </row>
    <row r="601" spans="1:42" ht="15.6" x14ac:dyDescent="0.3">
      <c r="A601" s="23"/>
      <c r="B601" s="20"/>
      <c r="C601" s="20"/>
      <c r="D601" s="20"/>
      <c r="E601" s="20"/>
      <c r="F601" s="66"/>
      <c r="G601" s="20"/>
      <c r="H601" s="20"/>
      <c r="I601" s="20"/>
      <c r="J601" s="50"/>
      <c r="K601" s="5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19"/>
      <c r="AI601" s="20"/>
      <c r="AJ601" s="20"/>
      <c r="AK601" s="20"/>
      <c r="AL601" s="20"/>
      <c r="AM601" s="24"/>
      <c r="AN601" s="59"/>
      <c r="AO601" s="12"/>
      <c r="AP601" s="60"/>
    </row>
    <row r="602" spans="1:42" ht="15.6" x14ac:dyDescent="0.3">
      <c r="A602" s="23"/>
      <c r="B602" s="20"/>
      <c r="C602" s="20"/>
      <c r="D602" s="20"/>
      <c r="E602" s="20"/>
      <c r="F602" s="66"/>
      <c r="G602" s="20"/>
      <c r="H602" s="20"/>
      <c r="I602" s="20"/>
      <c r="J602" s="50"/>
      <c r="K602" s="5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19"/>
      <c r="AI602" s="20"/>
      <c r="AJ602" s="20"/>
      <c r="AK602" s="20"/>
      <c r="AL602" s="20"/>
      <c r="AM602" s="24"/>
      <c r="AN602" s="59"/>
      <c r="AO602" s="12"/>
      <c r="AP602" s="60"/>
    </row>
    <row r="603" spans="1:42" ht="15.6" x14ac:dyDescent="0.3">
      <c r="A603" s="23"/>
      <c r="B603" s="20"/>
      <c r="C603" s="20"/>
      <c r="D603" s="20"/>
      <c r="E603" s="20"/>
      <c r="F603" s="66"/>
      <c r="G603" s="20"/>
      <c r="H603" s="20"/>
      <c r="I603" s="20"/>
      <c r="J603" s="50"/>
      <c r="K603" s="5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19"/>
      <c r="AI603" s="20"/>
      <c r="AJ603" s="20"/>
      <c r="AK603" s="20"/>
      <c r="AL603" s="20"/>
      <c r="AM603" s="24"/>
      <c r="AN603" s="59"/>
      <c r="AO603" s="12"/>
      <c r="AP603" s="60"/>
    </row>
    <row r="604" spans="1:42" ht="15.6" x14ac:dyDescent="0.3">
      <c r="A604" s="23"/>
      <c r="B604" s="20"/>
      <c r="C604" s="20"/>
      <c r="D604" s="20"/>
      <c r="E604" s="20"/>
      <c r="F604" s="66"/>
      <c r="G604" s="20"/>
      <c r="H604" s="20"/>
      <c r="I604" s="20"/>
      <c r="J604" s="50"/>
      <c r="K604" s="5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19"/>
      <c r="AI604" s="20"/>
      <c r="AJ604" s="20"/>
      <c r="AK604" s="20"/>
      <c r="AL604" s="20"/>
      <c r="AM604" s="24"/>
      <c r="AN604" s="59"/>
      <c r="AO604" s="12"/>
      <c r="AP604" s="60"/>
    </row>
    <row r="605" spans="1:42" ht="15.6" x14ac:dyDescent="0.3">
      <c r="A605" s="23"/>
      <c r="B605" s="20"/>
      <c r="C605" s="20"/>
      <c r="D605" s="20"/>
      <c r="E605" s="20"/>
      <c r="F605" s="66"/>
      <c r="G605" s="20"/>
      <c r="H605" s="20"/>
      <c r="I605" s="20"/>
      <c r="J605" s="50"/>
      <c r="K605" s="5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19"/>
      <c r="AI605" s="20"/>
      <c r="AJ605" s="20"/>
      <c r="AK605" s="20"/>
      <c r="AL605" s="20"/>
      <c r="AM605" s="24"/>
      <c r="AN605" s="59"/>
      <c r="AO605" s="12"/>
      <c r="AP605" s="60"/>
    </row>
    <row r="606" spans="1:42" ht="15.6" x14ac:dyDescent="0.3">
      <c r="A606" s="23"/>
      <c r="B606" s="20"/>
      <c r="C606" s="20"/>
      <c r="D606" s="20"/>
      <c r="E606" s="20"/>
      <c r="F606" s="66"/>
      <c r="G606" s="20"/>
      <c r="H606" s="20"/>
      <c r="I606" s="20"/>
      <c r="J606" s="50"/>
      <c r="K606" s="5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19"/>
      <c r="AI606" s="20"/>
      <c r="AJ606" s="20"/>
      <c r="AK606" s="20"/>
      <c r="AL606" s="20"/>
      <c r="AM606" s="24"/>
      <c r="AN606" s="59"/>
      <c r="AO606" s="12"/>
      <c r="AP606" s="60"/>
    </row>
    <row r="607" spans="1:42" ht="15.6" x14ac:dyDescent="0.3">
      <c r="A607" s="23"/>
      <c r="B607" s="20"/>
      <c r="C607" s="20"/>
      <c r="D607" s="20"/>
      <c r="E607" s="20"/>
      <c r="F607" s="66"/>
      <c r="G607" s="20"/>
      <c r="H607" s="20"/>
      <c r="I607" s="20"/>
      <c r="J607" s="50"/>
      <c r="K607" s="5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19"/>
      <c r="AI607" s="20"/>
      <c r="AJ607" s="20"/>
      <c r="AK607" s="20"/>
      <c r="AL607" s="20"/>
      <c r="AM607" s="24"/>
      <c r="AN607" s="59"/>
      <c r="AO607" s="12"/>
      <c r="AP607" s="60"/>
    </row>
    <row r="608" spans="1:42" ht="15.6" x14ac:dyDescent="0.3">
      <c r="A608" s="23"/>
      <c r="B608" s="20"/>
      <c r="C608" s="20"/>
      <c r="D608" s="20"/>
      <c r="E608" s="20"/>
      <c r="F608" s="66"/>
      <c r="G608" s="20"/>
      <c r="H608" s="20"/>
      <c r="I608" s="20"/>
      <c r="J608" s="50"/>
      <c r="K608" s="5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19"/>
      <c r="AI608" s="20"/>
      <c r="AJ608" s="20"/>
      <c r="AK608" s="20"/>
      <c r="AL608" s="20"/>
      <c r="AM608" s="24"/>
      <c r="AN608" s="59"/>
      <c r="AO608" s="12"/>
      <c r="AP608" s="60"/>
    </row>
    <row r="609" spans="1:42" ht="15.6" x14ac:dyDescent="0.3">
      <c r="A609" s="23"/>
      <c r="B609" s="20"/>
      <c r="C609" s="20"/>
      <c r="D609" s="20"/>
      <c r="E609" s="20"/>
      <c r="F609" s="66"/>
      <c r="G609" s="20"/>
      <c r="H609" s="20"/>
      <c r="I609" s="20"/>
      <c r="J609" s="50"/>
      <c r="K609" s="5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19"/>
      <c r="AI609" s="20"/>
      <c r="AJ609" s="20"/>
      <c r="AK609" s="20"/>
      <c r="AL609" s="20"/>
      <c r="AM609" s="24"/>
      <c r="AN609" s="59"/>
      <c r="AO609" s="12"/>
      <c r="AP609" s="60"/>
    </row>
    <row r="610" spans="1:42" ht="15.6" x14ac:dyDescent="0.3">
      <c r="A610" s="23"/>
      <c r="B610" s="20"/>
      <c r="C610" s="20"/>
      <c r="D610" s="20"/>
      <c r="E610" s="20"/>
      <c r="F610" s="66"/>
      <c r="G610" s="20"/>
      <c r="H610" s="20"/>
      <c r="I610" s="20"/>
      <c r="J610" s="50"/>
      <c r="K610" s="5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19"/>
      <c r="AI610" s="20"/>
      <c r="AJ610" s="20"/>
      <c r="AK610" s="20"/>
      <c r="AL610" s="20"/>
      <c r="AM610" s="24"/>
      <c r="AN610" s="59"/>
      <c r="AO610" s="12"/>
      <c r="AP610" s="60"/>
    </row>
    <row r="611" spans="1:42" ht="15.6" x14ac:dyDescent="0.3">
      <c r="A611" s="23"/>
      <c r="B611" s="20"/>
      <c r="C611" s="20"/>
      <c r="D611" s="20"/>
      <c r="E611" s="20"/>
      <c r="F611" s="66"/>
      <c r="G611" s="20"/>
      <c r="H611" s="20"/>
      <c r="I611" s="20"/>
      <c r="J611" s="50"/>
      <c r="K611" s="5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19"/>
      <c r="AI611" s="20"/>
      <c r="AJ611" s="20"/>
      <c r="AK611" s="20"/>
      <c r="AL611" s="20"/>
      <c r="AM611" s="24"/>
      <c r="AN611" s="59"/>
      <c r="AO611" s="12"/>
      <c r="AP611" s="60"/>
    </row>
    <row r="612" spans="1:42" ht="15.6" x14ac:dyDescent="0.3">
      <c r="A612" s="23"/>
      <c r="B612" s="20"/>
      <c r="C612" s="20"/>
      <c r="D612" s="20"/>
      <c r="E612" s="20"/>
      <c r="F612" s="66"/>
      <c r="G612" s="20"/>
      <c r="H612" s="20"/>
      <c r="I612" s="20"/>
      <c r="J612" s="50"/>
      <c r="K612" s="5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19"/>
      <c r="AI612" s="20"/>
      <c r="AJ612" s="20"/>
      <c r="AK612" s="20"/>
      <c r="AL612" s="20"/>
      <c r="AM612" s="24"/>
      <c r="AN612" s="59"/>
      <c r="AO612" s="12"/>
      <c r="AP612" s="60"/>
    </row>
    <row r="613" spans="1:42" ht="15.6" x14ac:dyDescent="0.3">
      <c r="A613" s="23"/>
      <c r="B613" s="20"/>
      <c r="C613" s="20"/>
      <c r="D613" s="20"/>
      <c r="E613" s="20"/>
      <c r="F613" s="66"/>
      <c r="G613" s="20"/>
      <c r="H613" s="20"/>
      <c r="I613" s="20"/>
      <c r="J613" s="50"/>
      <c r="K613" s="5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19"/>
      <c r="AI613" s="20"/>
      <c r="AJ613" s="20"/>
      <c r="AK613" s="20"/>
      <c r="AL613" s="20"/>
      <c r="AM613" s="24"/>
      <c r="AN613" s="59"/>
      <c r="AO613" s="12"/>
      <c r="AP613" s="60"/>
    </row>
    <row r="614" spans="1:42" ht="15.6" x14ac:dyDescent="0.3">
      <c r="A614" s="23"/>
      <c r="B614" s="20"/>
      <c r="C614" s="20"/>
      <c r="D614" s="20"/>
      <c r="E614" s="20"/>
      <c r="F614" s="66"/>
      <c r="G614" s="20"/>
      <c r="H614" s="20"/>
      <c r="I614" s="20"/>
      <c r="J614" s="50"/>
      <c r="K614" s="5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19"/>
      <c r="AI614" s="20"/>
      <c r="AJ614" s="20"/>
      <c r="AK614" s="20"/>
      <c r="AL614" s="20"/>
      <c r="AM614" s="24"/>
      <c r="AN614" s="59"/>
      <c r="AO614" s="12"/>
      <c r="AP614" s="60"/>
    </row>
    <row r="615" spans="1:42" ht="15.6" x14ac:dyDescent="0.3">
      <c r="A615" s="23"/>
      <c r="B615" s="20"/>
      <c r="C615" s="20"/>
      <c r="D615" s="20"/>
      <c r="E615" s="20"/>
      <c r="F615" s="66"/>
      <c r="G615" s="20"/>
      <c r="H615" s="20"/>
      <c r="I615" s="20"/>
      <c r="J615" s="50"/>
      <c r="K615" s="5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19"/>
      <c r="AI615" s="20"/>
      <c r="AJ615" s="20"/>
      <c r="AK615" s="20"/>
      <c r="AL615" s="20"/>
      <c r="AM615" s="24"/>
      <c r="AN615" s="59"/>
      <c r="AO615" s="12"/>
      <c r="AP615" s="60"/>
    </row>
    <row r="616" spans="1:42" ht="15.6" x14ac:dyDescent="0.3">
      <c r="A616" s="23"/>
      <c r="B616" s="20"/>
      <c r="C616" s="20"/>
      <c r="D616" s="20"/>
      <c r="E616" s="20"/>
      <c r="F616" s="66"/>
      <c r="G616" s="20"/>
      <c r="H616" s="20"/>
      <c r="I616" s="20"/>
      <c r="J616" s="50"/>
      <c r="K616" s="5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19"/>
      <c r="AI616" s="20"/>
      <c r="AJ616" s="20"/>
      <c r="AK616" s="20"/>
      <c r="AL616" s="20"/>
      <c r="AM616" s="24"/>
      <c r="AN616" s="59"/>
      <c r="AO616" s="12"/>
      <c r="AP616" s="60"/>
    </row>
    <row r="617" spans="1:42" ht="15.6" x14ac:dyDescent="0.3">
      <c r="A617" s="23"/>
      <c r="B617" s="20"/>
      <c r="C617" s="20"/>
      <c r="D617" s="20"/>
      <c r="E617" s="20"/>
      <c r="F617" s="66"/>
      <c r="G617" s="20"/>
      <c r="H617" s="20"/>
      <c r="I617" s="20"/>
      <c r="J617" s="50"/>
      <c r="K617" s="5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19"/>
      <c r="AI617" s="20"/>
      <c r="AJ617" s="20"/>
      <c r="AK617" s="20"/>
      <c r="AL617" s="20"/>
      <c r="AM617" s="24"/>
      <c r="AN617" s="59"/>
      <c r="AO617" s="12"/>
      <c r="AP617" s="60"/>
    </row>
    <row r="618" spans="1:42" ht="15.6" x14ac:dyDescent="0.3">
      <c r="A618" s="23"/>
      <c r="B618" s="20"/>
      <c r="C618" s="20"/>
      <c r="D618" s="20"/>
      <c r="E618" s="20"/>
      <c r="F618" s="66"/>
      <c r="G618" s="20"/>
      <c r="H618" s="20"/>
      <c r="I618" s="20"/>
      <c r="J618" s="50"/>
      <c r="K618" s="5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19"/>
      <c r="AI618" s="20"/>
      <c r="AJ618" s="20"/>
      <c r="AK618" s="20"/>
      <c r="AL618" s="20"/>
      <c r="AM618" s="24"/>
      <c r="AN618" s="59"/>
      <c r="AO618" s="12"/>
      <c r="AP618" s="60"/>
    </row>
    <row r="619" spans="1:42" ht="15.6" x14ac:dyDescent="0.3">
      <c r="A619" s="23"/>
      <c r="B619" s="20"/>
      <c r="C619" s="20"/>
      <c r="D619" s="20"/>
      <c r="E619" s="20"/>
      <c r="F619" s="66"/>
      <c r="G619" s="20"/>
      <c r="H619" s="20"/>
      <c r="I619" s="20"/>
      <c r="J619" s="50"/>
      <c r="K619" s="5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19"/>
      <c r="AI619" s="20"/>
      <c r="AJ619" s="20"/>
      <c r="AK619" s="20"/>
      <c r="AL619" s="20"/>
      <c r="AM619" s="24"/>
      <c r="AN619" s="59"/>
      <c r="AO619" s="12"/>
      <c r="AP619" s="60"/>
    </row>
    <row r="620" spans="1:42" ht="15.6" x14ac:dyDescent="0.3">
      <c r="A620" s="23"/>
      <c r="B620" s="20"/>
      <c r="C620" s="20"/>
      <c r="D620" s="20"/>
      <c r="E620" s="20"/>
      <c r="F620" s="66"/>
      <c r="G620" s="20"/>
      <c r="H620" s="20"/>
      <c r="I620" s="20"/>
      <c r="J620" s="50"/>
      <c r="K620" s="5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19"/>
      <c r="AI620" s="20"/>
      <c r="AJ620" s="20"/>
      <c r="AK620" s="20"/>
      <c r="AL620" s="20"/>
      <c r="AM620" s="24"/>
      <c r="AN620" s="59"/>
      <c r="AO620" s="12"/>
      <c r="AP620" s="60"/>
    </row>
    <row r="621" spans="1:42" ht="15.6" x14ac:dyDescent="0.3">
      <c r="A621" s="23"/>
      <c r="B621" s="20"/>
      <c r="C621" s="20"/>
      <c r="D621" s="20"/>
      <c r="E621" s="20"/>
      <c r="F621" s="66"/>
      <c r="G621" s="20"/>
      <c r="H621" s="20"/>
      <c r="I621" s="20"/>
      <c r="J621" s="50"/>
      <c r="K621" s="5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19"/>
      <c r="AI621" s="20"/>
      <c r="AJ621" s="20"/>
      <c r="AK621" s="20"/>
      <c r="AL621" s="20"/>
      <c r="AM621" s="24"/>
      <c r="AN621" s="59"/>
      <c r="AO621" s="12"/>
      <c r="AP621" s="60"/>
    </row>
    <row r="622" spans="1:42" ht="15.6" x14ac:dyDescent="0.3">
      <c r="A622" s="23"/>
      <c r="B622" s="20"/>
      <c r="C622" s="20"/>
      <c r="D622" s="20"/>
      <c r="E622" s="20"/>
      <c r="F622" s="66"/>
      <c r="G622" s="20"/>
      <c r="H622" s="20"/>
      <c r="I622" s="20"/>
      <c r="J622" s="50"/>
      <c r="K622" s="5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19"/>
      <c r="AI622" s="20"/>
      <c r="AJ622" s="20"/>
      <c r="AK622" s="20"/>
      <c r="AL622" s="20"/>
      <c r="AM622" s="24"/>
      <c r="AN622" s="59"/>
      <c r="AO622" s="12"/>
      <c r="AP622" s="60"/>
    </row>
    <row r="623" spans="1:42" ht="15.6" x14ac:dyDescent="0.3">
      <c r="A623" s="23"/>
      <c r="B623" s="20"/>
      <c r="C623" s="20"/>
      <c r="D623" s="20"/>
      <c r="E623" s="20"/>
      <c r="F623" s="66"/>
      <c r="G623" s="20"/>
      <c r="H623" s="20"/>
      <c r="I623" s="20"/>
      <c r="J623" s="50"/>
      <c r="K623" s="5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19"/>
      <c r="AI623" s="20"/>
      <c r="AJ623" s="20"/>
      <c r="AK623" s="20"/>
      <c r="AL623" s="20"/>
      <c r="AM623" s="24"/>
      <c r="AN623" s="59"/>
      <c r="AO623" s="12"/>
      <c r="AP623" s="60"/>
    </row>
    <row r="624" spans="1:42" ht="15.6" x14ac:dyDescent="0.3">
      <c r="A624" s="23"/>
      <c r="B624" s="20"/>
      <c r="C624" s="20"/>
      <c r="D624" s="20"/>
      <c r="E624" s="20"/>
      <c r="F624" s="66"/>
      <c r="G624" s="20"/>
      <c r="H624" s="20"/>
      <c r="I624" s="20"/>
      <c r="J624" s="50"/>
      <c r="K624" s="5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19"/>
      <c r="AI624" s="20"/>
      <c r="AJ624" s="20"/>
      <c r="AK624" s="20"/>
      <c r="AL624" s="20"/>
      <c r="AM624" s="24"/>
      <c r="AN624" s="59"/>
      <c r="AO624" s="12"/>
      <c r="AP624" s="60"/>
    </row>
    <row r="625" spans="1:42" ht="15.6" x14ac:dyDescent="0.3">
      <c r="A625" s="23"/>
      <c r="B625" s="20"/>
      <c r="C625" s="20"/>
      <c r="D625" s="20"/>
      <c r="E625" s="20"/>
      <c r="F625" s="66"/>
      <c r="G625" s="20"/>
      <c r="H625" s="20"/>
      <c r="I625" s="20"/>
      <c r="J625" s="50"/>
      <c r="K625" s="5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19"/>
      <c r="AI625" s="20"/>
      <c r="AJ625" s="20"/>
      <c r="AK625" s="20"/>
      <c r="AL625" s="20"/>
      <c r="AM625" s="24"/>
      <c r="AN625" s="59"/>
      <c r="AO625" s="12"/>
      <c r="AP625" s="60"/>
    </row>
    <row r="626" spans="1:42" ht="15.6" x14ac:dyDescent="0.3">
      <c r="A626" s="23"/>
      <c r="B626" s="20"/>
      <c r="C626" s="20"/>
      <c r="D626" s="20"/>
      <c r="E626" s="20"/>
      <c r="F626" s="66"/>
      <c r="G626" s="20"/>
      <c r="H626" s="20"/>
      <c r="I626" s="20"/>
      <c r="J626" s="50"/>
      <c r="K626" s="5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19"/>
      <c r="AI626" s="20"/>
      <c r="AJ626" s="20"/>
      <c r="AK626" s="20"/>
      <c r="AL626" s="20"/>
      <c r="AM626" s="24"/>
      <c r="AN626" s="59"/>
      <c r="AO626" s="12"/>
      <c r="AP626" s="60"/>
    </row>
    <row r="627" spans="1:42" ht="15.6" x14ac:dyDescent="0.3">
      <c r="A627" s="23"/>
      <c r="B627" s="20"/>
      <c r="C627" s="20"/>
      <c r="D627" s="20"/>
      <c r="E627" s="20"/>
      <c r="F627" s="66"/>
      <c r="G627" s="20"/>
      <c r="H627" s="20"/>
      <c r="I627" s="20"/>
      <c r="J627" s="50"/>
      <c r="K627" s="5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19"/>
      <c r="AI627" s="20"/>
      <c r="AJ627" s="20"/>
      <c r="AK627" s="20"/>
      <c r="AL627" s="20"/>
      <c r="AM627" s="24"/>
      <c r="AN627" s="59"/>
      <c r="AO627" s="12"/>
      <c r="AP627" s="60"/>
    </row>
    <row r="628" spans="1:42" ht="15.6" x14ac:dyDescent="0.3">
      <c r="A628" s="23"/>
      <c r="B628" s="20"/>
      <c r="C628" s="20"/>
      <c r="D628" s="20"/>
      <c r="E628" s="20"/>
      <c r="F628" s="66"/>
      <c r="G628" s="20"/>
      <c r="H628" s="20"/>
      <c r="I628" s="20"/>
      <c r="J628" s="50"/>
      <c r="K628" s="5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19"/>
      <c r="AI628" s="20"/>
      <c r="AJ628" s="20"/>
      <c r="AK628" s="20"/>
      <c r="AL628" s="20"/>
      <c r="AM628" s="24"/>
      <c r="AN628" s="59"/>
      <c r="AO628" s="12"/>
      <c r="AP628" s="60"/>
    </row>
    <row r="629" spans="1:42" ht="15.6" x14ac:dyDescent="0.3">
      <c r="A629" s="23"/>
      <c r="B629" s="20"/>
      <c r="C629" s="20"/>
      <c r="D629" s="20"/>
      <c r="E629" s="20"/>
      <c r="F629" s="66"/>
      <c r="G629" s="20"/>
      <c r="H629" s="20"/>
      <c r="I629" s="20"/>
      <c r="J629" s="50"/>
      <c r="K629" s="5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19"/>
      <c r="AI629" s="20"/>
      <c r="AJ629" s="20"/>
      <c r="AK629" s="20"/>
      <c r="AL629" s="20"/>
      <c r="AM629" s="24"/>
      <c r="AN629" s="59"/>
      <c r="AO629" s="12"/>
      <c r="AP629" s="60"/>
    </row>
    <row r="630" spans="1:42" ht="15.6" x14ac:dyDescent="0.3">
      <c r="A630" s="23"/>
      <c r="B630" s="20"/>
      <c r="C630" s="20"/>
      <c r="D630" s="20"/>
      <c r="E630" s="20"/>
      <c r="F630" s="66"/>
      <c r="G630" s="20"/>
      <c r="H630" s="20"/>
      <c r="I630" s="20"/>
      <c r="J630" s="50"/>
      <c r="K630" s="5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19"/>
      <c r="AI630" s="20"/>
      <c r="AJ630" s="20"/>
      <c r="AK630" s="20"/>
      <c r="AL630" s="20"/>
      <c r="AM630" s="24"/>
      <c r="AN630" s="59"/>
      <c r="AO630" s="12"/>
      <c r="AP630" s="60"/>
    </row>
    <row r="631" spans="1:42" ht="15.6" x14ac:dyDescent="0.3">
      <c r="A631" s="23"/>
      <c r="B631" s="20"/>
      <c r="C631" s="20"/>
      <c r="D631" s="20"/>
      <c r="E631" s="20"/>
      <c r="F631" s="66"/>
      <c r="G631" s="20"/>
      <c r="H631" s="20"/>
      <c r="I631" s="20"/>
      <c r="J631" s="50"/>
      <c r="K631" s="5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19"/>
      <c r="AI631" s="20"/>
      <c r="AJ631" s="20"/>
      <c r="AK631" s="20"/>
      <c r="AL631" s="20"/>
      <c r="AM631" s="24"/>
      <c r="AN631" s="59"/>
      <c r="AO631" s="12"/>
      <c r="AP631" s="60"/>
    </row>
    <row r="632" spans="1:42" ht="15.6" x14ac:dyDescent="0.3">
      <c r="A632" s="23"/>
      <c r="B632" s="20"/>
      <c r="C632" s="20"/>
      <c r="D632" s="20"/>
      <c r="E632" s="20"/>
      <c r="F632" s="66"/>
      <c r="G632" s="20"/>
      <c r="H632" s="20"/>
      <c r="I632" s="20"/>
      <c r="J632" s="50"/>
      <c r="K632" s="5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19"/>
      <c r="AI632" s="20"/>
      <c r="AJ632" s="20"/>
      <c r="AK632" s="20"/>
      <c r="AL632" s="20"/>
      <c r="AM632" s="24"/>
      <c r="AN632" s="59"/>
      <c r="AO632" s="12"/>
      <c r="AP632" s="60"/>
    </row>
    <row r="633" spans="1:42" ht="15.6" x14ac:dyDescent="0.3">
      <c r="A633" s="23"/>
      <c r="B633" s="20"/>
      <c r="C633" s="20"/>
      <c r="D633" s="20"/>
      <c r="E633" s="20"/>
      <c r="F633" s="66"/>
      <c r="G633" s="20"/>
      <c r="H633" s="20"/>
      <c r="I633" s="20"/>
      <c r="J633" s="50"/>
      <c r="K633" s="5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19"/>
      <c r="AI633" s="20"/>
      <c r="AJ633" s="20"/>
      <c r="AK633" s="20"/>
      <c r="AL633" s="20"/>
      <c r="AM633" s="24"/>
      <c r="AN633" s="59"/>
      <c r="AO633" s="12"/>
      <c r="AP633" s="60"/>
    </row>
    <row r="634" spans="1:42" ht="15.6" x14ac:dyDescent="0.3">
      <c r="A634" s="23"/>
      <c r="B634" s="20"/>
      <c r="C634" s="20"/>
      <c r="D634" s="20"/>
      <c r="E634" s="20"/>
      <c r="F634" s="66"/>
      <c r="G634" s="20"/>
      <c r="H634" s="20"/>
      <c r="I634" s="20"/>
      <c r="J634" s="50"/>
      <c r="K634" s="5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19"/>
      <c r="AI634" s="20"/>
      <c r="AJ634" s="20"/>
      <c r="AK634" s="20"/>
      <c r="AL634" s="20"/>
      <c r="AM634" s="24"/>
      <c r="AN634" s="59"/>
      <c r="AO634" s="12"/>
      <c r="AP634" s="60"/>
    </row>
    <row r="635" spans="1:42" ht="15.6" x14ac:dyDescent="0.3">
      <c r="A635" s="23"/>
      <c r="B635" s="20"/>
      <c r="C635" s="20"/>
      <c r="D635" s="20"/>
      <c r="E635" s="20"/>
      <c r="F635" s="66"/>
      <c r="G635" s="20"/>
      <c r="H635" s="20"/>
      <c r="I635" s="20"/>
      <c r="J635" s="50"/>
      <c r="K635" s="5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19"/>
      <c r="AI635" s="20"/>
      <c r="AJ635" s="20"/>
      <c r="AK635" s="20"/>
      <c r="AL635" s="20"/>
      <c r="AM635" s="24"/>
      <c r="AN635" s="59"/>
      <c r="AO635" s="12"/>
      <c r="AP635" s="60"/>
    </row>
    <row r="636" spans="1:42" ht="15.6" x14ac:dyDescent="0.3">
      <c r="A636" s="23"/>
      <c r="B636" s="20"/>
      <c r="C636" s="20"/>
      <c r="D636" s="20"/>
      <c r="E636" s="20"/>
      <c r="F636" s="66"/>
      <c r="G636" s="20"/>
      <c r="H636" s="20"/>
      <c r="I636" s="20"/>
      <c r="J636" s="50"/>
      <c r="K636" s="5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19"/>
      <c r="AI636" s="20"/>
      <c r="AJ636" s="20"/>
      <c r="AK636" s="20"/>
      <c r="AL636" s="20"/>
      <c r="AM636" s="24"/>
      <c r="AN636" s="59"/>
      <c r="AO636" s="12"/>
      <c r="AP636" s="60"/>
    </row>
    <row r="637" spans="1:42" ht="15.6" x14ac:dyDescent="0.3">
      <c r="A637" s="23"/>
      <c r="B637" s="20"/>
      <c r="C637" s="20"/>
      <c r="D637" s="20"/>
      <c r="E637" s="20"/>
      <c r="F637" s="66"/>
      <c r="G637" s="20"/>
      <c r="H637" s="20"/>
      <c r="I637" s="20"/>
      <c r="J637" s="50"/>
      <c r="K637" s="5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19"/>
      <c r="AI637" s="20"/>
      <c r="AJ637" s="20"/>
      <c r="AK637" s="20"/>
      <c r="AL637" s="20"/>
      <c r="AM637" s="24"/>
      <c r="AN637" s="59"/>
      <c r="AO637" s="12"/>
      <c r="AP637" s="60"/>
    </row>
    <row r="638" spans="1:42" ht="15.6" x14ac:dyDescent="0.3">
      <c r="A638" s="23"/>
      <c r="B638" s="20"/>
      <c r="C638" s="20"/>
      <c r="D638" s="20"/>
      <c r="E638" s="20"/>
      <c r="F638" s="66"/>
      <c r="G638" s="20"/>
      <c r="H638" s="20"/>
      <c r="I638" s="20"/>
      <c r="J638" s="50"/>
      <c r="K638" s="5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19"/>
      <c r="AI638" s="20"/>
      <c r="AJ638" s="20"/>
      <c r="AK638" s="20"/>
      <c r="AL638" s="20"/>
      <c r="AM638" s="24"/>
      <c r="AN638" s="59"/>
      <c r="AO638" s="12"/>
      <c r="AP638" s="60"/>
    </row>
    <row r="639" spans="1:42" ht="15.6" x14ac:dyDescent="0.3">
      <c r="A639" s="23"/>
      <c r="B639" s="20"/>
      <c r="C639" s="20"/>
      <c r="D639" s="20"/>
      <c r="E639" s="20"/>
      <c r="F639" s="66"/>
      <c r="G639" s="20"/>
      <c r="H639" s="20"/>
      <c r="I639" s="20"/>
      <c r="J639" s="50"/>
      <c r="K639" s="5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19"/>
      <c r="AI639" s="20"/>
      <c r="AJ639" s="20"/>
      <c r="AK639" s="20"/>
      <c r="AL639" s="20"/>
      <c r="AM639" s="24"/>
      <c r="AN639" s="59"/>
      <c r="AO639" s="12"/>
      <c r="AP639" s="60"/>
    </row>
    <row r="640" spans="1:42" ht="15.6" x14ac:dyDescent="0.3">
      <c r="A640" s="23"/>
      <c r="B640" s="20"/>
      <c r="C640" s="20"/>
      <c r="D640" s="20"/>
      <c r="E640" s="20"/>
      <c r="F640" s="66"/>
      <c r="G640" s="20"/>
      <c r="H640" s="20"/>
      <c r="I640" s="20"/>
      <c r="J640" s="50"/>
      <c r="K640" s="5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19"/>
      <c r="AI640" s="20"/>
      <c r="AJ640" s="20"/>
      <c r="AK640" s="20"/>
      <c r="AL640" s="20"/>
      <c r="AM640" s="24"/>
      <c r="AN640" s="59"/>
      <c r="AO640" s="12"/>
      <c r="AP640" s="60"/>
    </row>
    <row r="641" spans="1:42" ht="15.6" x14ac:dyDescent="0.3">
      <c r="A641" s="23"/>
      <c r="B641" s="20"/>
      <c r="C641" s="20"/>
      <c r="D641" s="20"/>
      <c r="E641" s="20"/>
      <c r="F641" s="66"/>
      <c r="G641" s="20"/>
      <c r="H641" s="20"/>
      <c r="I641" s="20"/>
      <c r="J641" s="50"/>
      <c r="K641" s="5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19"/>
      <c r="AI641" s="20"/>
      <c r="AJ641" s="20"/>
      <c r="AK641" s="20"/>
      <c r="AL641" s="20"/>
      <c r="AM641" s="24"/>
      <c r="AN641" s="59"/>
      <c r="AO641" s="12"/>
      <c r="AP641" s="60"/>
    </row>
    <row r="642" spans="1:42" ht="15.6" x14ac:dyDescent="0.3">
      <c r="A642" s="23"/>
      <c r="B642" s="20"/>
      <c r="C642" s="20"/>
      <c r="D642" s="20"/>
      <c r="E642" s="20"/>
      <c r="F642" s="66"/>
      <c r="G642" s="20"/>
      <c r="H642" s="20"/>
      <c r="I642" s="20"/>
      <c r="J642" s="50"/>
      <c r="K642" s="5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19"/>
      <c r="AI642" s="20"/>
      <c r="AJ642" s="20"/>
      <c r="AK642" s="20"/>
      <c r="AL642" s="20"/>
      <c r="AM642" s="24"/>
      <c r="AN642" s="59"/>
      <c r="AO642" s="12"/>
      <c r="AP642" s="60"/>
    </row>
    <row r="643" spans="1:42" ht="15.6" x14ac:dyDescent="0.3">
      <c r="A643" s="23"/>
      <c r="B643" s="20"/>
      <c r="C643" s="20"/>
      <c r="D643" s="20"/>
      <c r="E643" s="20"/>
      <c r="F643" s="66"/>
      <c r="G643" s="20"/>
      <c r="H643" s="20"/>
      <c r="I643" s="20"/>
      <c r="J643" s="50"/>
      <c r="K643" s="5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19"/>
      <c r="AI643" s="20"/>
      <c r="AJ643" s="20"/>
      <c r="AK643" s="20"/>
      <c r="AL643" s="20"/>
      <c r="AM643" s="24"/>
      <c r="AN643" s="59"/>
      <c r="AO643" s="12"/>
      <c r="AP643" s="60"/>
    </row>
    <row r="644" spans="1:42" ht="15.6" x14ac:dyDescent="0.3">
      <c r="A644" s="23"/>
      <c r="B644" s="20"/>
      <c r="C644" s="20"/>
      <c r="D644" s="20"/>
      <c r="E644" s="20"/>
      <c r="F644" s="66"/>
      <c r="G644" s="20"/>
      <c r="H644" s="20"/>
      <c r="I644" s="20"/>
      <c r="J644" s="50"/>
      <c r="K644" s="5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19"/>
      <c r="AI644" s="20"/>
      <c r="AJ644" s="20"/>
      <c r="AK644" s="20"/>
      <c r="AL644" s="20"/>
      <c r="AM644" s="24"/>
      <c r="AN644" s="59"/>
      <c r="AO644" s="12"/>
      <c r="AP644" s="60"/>
    </row>
    <row r="645" spans="1:42" ht="15.6" x14ac:dyDescent="0.3">
      <c r="A645" s="23"/>
      <c r="B645" s="20"/>
      <c r="C645" s="20"/>
      <c r="D645" s="20"/>
      <c r="E645" s="20"/>
      <c r="F645" s="66"/>
      <c r="G645" s="20"/>
      <c r="H645" s="20"/>
      <c r="I645" s="20"/>
      <c r="J645" s="50"/>
      <c r="K645" s="5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19"/>
      <c r="AI645" s="20"/>
      <c r="AJ645" s="20"/>
      <c r="AK645" s="20"/>
      <c r="AL645" s="20"/>
      <c r="AM645" s="24"/>
      <c r="AN645" s="59"/>
      <c r="AO645" s="12"/>
      <c r="AP645" s="60"/>
    </row>
    <row r="646" spans="1:42" ht="15.6" x14ac:dyDescent="0.3">
      <c r="A646" s="23"/>
      <c r="B646" s="20"/>
      <c r="C646" s="20"/>
      <c r="D646" s="20"/>
      <c r="E646" s="20"/>
      <c r="F646" s="66"/>
      <c r="G646" s="20"/>
      <c r="H646" s="20"/>
      <c r="I646" s="20"/>
      <c r="J646" s="50"/>
      <c r="K646" s="5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19"/>
      <c r="AI646" s="20"/>
      <c r="AJ646" s="20"/>
      <c r="AK646" s="20"/>
      <c r="AL646" s="20"/>
      <c r="AM646" s="24"/>
      <c r="AN646" s="59"/>
      <c r="AO646" s="12"/>
      <c r="AP646" s="60"/>
    </row>
    <row r="647" spans="1:42" ht="15.6" x14ac:dyDescent="0.3">
      <c r="A647" s="23"/>
      <c r="B647" s="20"/>
      <c r="C647" s="20"/>
      <c r="D647" s="20"/>
      <c r="E647" s="20"/>
      <c r="F647" s="66"/>
      <c r="G647" s="20"/>
      <c r="H647" s="20"/>
      <c r="I647" s="20"/>
      <c r="J647" s="50"/>
      <c r="K647" s="5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19"/>
      <c r="AI647" s="20"/>
      <c r="AJ647" s="20"/>
      <c r="AK647" s="20"/>
      <c r="AL647" s="20"/>
      <c r="AM647" s="24"/>
      <c r="AN647" s="59"/>
      <c r="AO647" s="12"/>
      <c r="AP647" s="60"/>
    </row>
    <row r="648" spans="1:42" ht="15.6" x14ac:dyDescent="0.3">
      <c r="A648" s="23"/>
      <c r="B648" s="20"/>
      <c r="C648" s="20"/>
      <c r="D648" s="20"/>
      <c r="E648" s="20"/>
      <c r="F648" s="66"/>
      <c r="G648" s="20"/>
      <c r="H648" s="20"/>
      <c r="I648" s="20"/>
      <c r="J648" s="50"/>
      <c r="K648" s="5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19"/>
      <c r="AI648" s="20"/>
      <c r="AJ648" s="20"/>
      <c r="AK648" s="20"/>
      <c r="AL648" s="20"/>
      <c r="AM648" s="24"/>
      <c r="AN648" s="59"/>
      <c r="AO648" s="12"/>
      <c r="AP648" s="60"/>
    </row>
    <row r="649" spans="1:42" ht="15.6" x14ac:dyDescent="0.3">
      <c r="A649" s="23"/>
      <c r="B649" s="20"/>
      <c r="C649" s="20"/>
      <c r="D649" s="20"/>
      <c r="E649" s="20"/>
      <c r="F649" s="66"/>
      <c r="G649" s="20"/>
      <c r="H649" s="20"/>
      <c r="I649" s="20"/>
      <c r="J649" s="50"/>
      <c r="K649" s="5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19"/>
      <c r="AI649" s="20"/>
      <c r="AJ649" s="20"/>
      <c r="AK649" s="20"/>
      <c r="AL649" s="20"/>
      <c r="AM649" s="24"/>
      <c r="AN649" s="59"/>
      <c r="AO649" s="12"/>
      <c r="AP649" s="60"/>
    </row>
    <row r="650" spans="1:42" ht="15.6" x14ac:dyDescent="0.3">
      <c r="A650" s="23"/>
      <c r="B650" s="20"/>
      <c r="C650" s="20"/>
      <c r="D650" s="20"/>
      <c r="E650" s="20"/>
      <c r="F650" s="66"/>
      <c r="G650" s="20"/>
      <c r="H650" s="20"/>
      <c r="I650" s="20"/>
      <c r="J650" s="50"/>
      <c r="K650" s="5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19"/>
      <c r="AI650" s="20"/>
      <c r="AJ650" s="20"/>
      <c r="AK650" s="20"/>
      <c r="AL650" s="20"/>
      <c r="AM650" s="24"/>
      <c r="AN650" s="59"/>
      <c r="AO650" s="12"/>
      <c r="AP650" s="60"/>
    </row>
    <row r="651" spans="1:42" ht="15.6" x14ac:dyDescent="0.3">
      <c r="A651" s="23"/>
      <c r="B651" s="20"/>
      <c r="C651" s="20"/>
      <c r="D651" s="20"/>
      <c r="E651" s="20"/>
      <c r="F651" s="66"/>
      <c r="G651" s="20"/>
      <c r="H651" s="20"/>
      <c r="I651" s="20"/>
      <c r="J651" s="50"/>
      <c r="K651" s="5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19"/>
      <c r="AI651" s="20"/>
      <c r="AJ651" s="20"/>
      <c r="AK651" s="20"/>
      <c r="AL651" s="20"/>
      <c r="AM651" s="24"/>
      <c r="AN651" s="59"/>
      <c r="AO651" s="12"/>
      <c r="AP651" s="60"/>
    </row>
    <row r="652" spans="1:42" ht="15.6" x14ac:dyDescent="0.3">
      <c r="A652" s="23"/>
      <c r="B652" s="20"/>
      <c r="C652" s="20"/>
      <c r="D652" s="20"/>
      <c r="E652" s="20"/>
      <c r="F652" s="66"/>
      <c r="G652" s="20"/>
      <c r="H652" s="20"/>
      <c r="I652" s="20"/>
      <c r="J652" s="50"/>
      <c r="K652" s="5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19"/>
      <c r="AI652" s="20"/>
      <c r="AJ652" s="20"/>
      <c r="AK652" s="20"/>
      <c r="AL652" s="20"/>
      <c r="AM652" s="24"/>
      <c r="AN652" s="59"/>
      <c r="AO652" s="12"/>
      <c r="AP652" s="60"/>
    </row>
    <row r="653" spans="1:42" ht="15.6" x14ac:dyDescent="0.3">
      <c r="A653" s="23"/>
      <c r="B653" s="20"/>
      <c r="C653" s="20"/>
      <c r="D653" s="20"/>
      <c r="E653" s="20"/>
      <c r="F653" s="66"/>
      <c r="G653" s="20"/>
      <c r="H653" s="20"/>
      <c r="I653" s="20"/>
      <c r="J653" s="50"/>
      <c r="K653" s="5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19"/>
      <c r="AI653" s="20"/>
      <c r="AJ653" s="20"/>
      <c r="AK653" s="20"/>
      <c r="AL653" s="20"/>
      <c r="AM653" s="24"/>
      <c r="AN653" s="59"/>
      <c r="AO653" s="12"/>
      <c r="AP653" s="60"/>
    </row>
    <row r="654" spans="1:42" ht="15.6" x14ac:dyDescent="0.3">
      <c r="A654" s="23"/>
      <c r="B654" s="20"/>
      <c r="C654" s="20"/>
      <c r="D654" s="20"/>
      <c r="E654" s="20"/>
      <c r="F654" s="66"/>
      <c r="G654" s="20"/>
      <c r="H654" s="20"/>
      <c r="I654" s="20"/>
      <c r="J654" s="50"/>
      <c r="K654" s="5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19"/>
      <c r="AI654" s="20"/>
      <c r="AJ654" s="20"/>
      <c r="AK654" s="20"/>
      <c r="AL654" s="20"/>
      <c r="AM654" s="24"/>
      <c r="AN654" s="59"/>
      <c r="AO654" s="12"/>
      <c r="AP654" s="60"/>
    </row>
    <row r="655" spans="1:42" ht="15.6" x14ac:dyDescent="0.3">
      <c r="A655" s="23"/>
      <c r="B655" s="20"/>
      <c r="C655" s="20"/>
      <c r="D655" s="20"/>
      <c r="E655" s="20"/>
      <c r="F655" s="66"/>
      <c r="G655" s="20"/>
      <c r="H655" s="20"/>
      <c r="I655" s="20"/>
      <c r="J655" s="50"/>
      <c r="K655" s="5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19"/>
      <c r="AI655" s="20"/>
      <c r="AJ655" s="20"/>
      <c r="AK655" s="20"/>
      <c r="AL655" s="20"/>
      <c r="AM655" s="24"/>
      <c r="AN655" s="59"/>
      <c r="AO655" s="12"/>
      <c r="AP655" s="60"/>
    </row>
    <row r="656" spans="1:42" ht="15.6" x14ac:dyDescent="0.3">
      <c r="A656" s="23"/>
      <c r="B656" s="20"/>
      <c r="C656" s="20"/>
      <c r="D656" s="20"/>
      <c r="E656" s="20"/>
      <c r="F656" s="66"/>
      <c r="G656" s="20"/>
      <c r="H656" s="20"/>
      <c r="I656" s="20"/>
      <c r="J656" s="50"/>
      <c r="K656" s="5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19"/>
      <c r="AI656" s="20"/>
      <c r="AJ656" s="20"/>
      <c r="AK656" s="20"/>
      <c r="AL656" s="20"/>
      <c r="AM656" s="24"/>
      <c r="AN656" s="59"/>
      <c r="AO656" s="12"/>
      <c r="AP656" s="60"/>
    </row>
    <row r="657" spans="1:42" ht="15.6" x14ac:dyDescent="0.3">
      <c r="A657" s="23"/>
      <c r="B657" s="20"/>
      <c r="C657" s="20"/>
      <c r="D657" s="20"/>
      <c r="E657" s="20"/>
      <c r="F657" s="66"/>
      <c r="G657" s="20"/>
      <c r="H657" s="20"/>
      <c r="I657" s="20"/>
      <c r="J657" s="50"/>
      <c r="K657" s="5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19"/>
      <c r="AI657" s="20"/>
      <c r="AJ657" s="20"/>
      <c r="AK657" s="20"/>
      <c r="AL657" s="20"/>
      <c r="AM657" s="24"/>
      <c r="AN657" s="59"/>
      <c r="AO657" s="12"/>
      <c r="AP657" s="60"/>
    </row>
    <row r="658" spans="1:42" ht="15.6" x14ac:dyDescent="0.3">
      <c r="A658" s="23"/>
      <c r="B658" s="20"/>
      <c r="C658" s="20"/>
      <c r="D658" s="20"/>
      <c r="E658" s="20"/>
      <c r="F658" s="66"/>
      <c r="G658" s="20"/>
      <c r="H658" s="20"/>
      <c r="I658" s="20"/>
      <c r="J658" s="50"/>
      <c r="K658" s="5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19"/>
      <c r="AI658" s="20"/>
      <c r="AJ658" s="20"/>
      <c r="AK658" s="20"/>
      <c r="AL658" s="20"/>
      <c r="AM658" s="24"/>
      <c r="AN658" s="59"/>
      <c r="AO658" s="12"/>
      <c r="AP658" s="60"/>
    </row>
    <row r="659" spans="1:42" ht="15.6" x14ac:dyDescent="0.3">
      <c r="A659" s="23"/>
      <c r="B659" s="20"/>
      <c r="C659" s="20"/>
      <c r="D659" s="20"/>
      <c r="E659" s="20"/>
      <c r="F659" s="66"/>
      <c r="G659" s="20"/>
      <c r="H659" s="20"/>
      <c r="I659" s="20"/>
      <c r="J659" s="50"/>
      <c r="K659" s="5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19"/>
      <c r="AI659" s="20"/>
      <c r="AJ659" s="20"/>
      <c r="AK659" s="20"/>
      <c r="AL659" s="20"/>
      <c r="AM659" s="24"/>
      <c r="AN659" s="59"/>
      <c r="AO659" s="12"/>
      <c r="AP659" s="60"/>
    </row>
    <row r="660" spans="1:42" ht="15.6" x14ac:dyDescent="0.3">
      <c r="A660" s="23"/>
      <c r="B660" s="20"/>
      <c r="C660" s="20"/>
      <c r="D660" s="20"/>
      <c r="E660" s="20"/>
      <c r="F660" s="66"/>
      <c r="G660" s="20"/>
      <c r="H660" s="20"/>
      <c r="I660" s="20"/>
      <c r="J660" s="50"/>
      <c r="K660" s="5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19"/>
      <c r="AI660" s="20"/>
      <c r="AJ660" s="20"/>
      <c r="AK660" s="20"/>
      <c r="AL660" s="20"/>
      <c r="AM660" s="24"/>
      <c r="AN660" s="59"/>
      <c r="AO660" s="12"/>
      <c r="AP660" s="60"/>
    </row>
    <row r="661" spans="1:42" ht="15.6" x14ac:dyDescent="0.3">
      <c r="A661" s="23"/>
      <c r="B661" s="20"/>
      <c r="C661" s="20"/>
      <c r="D661" s="20"/>
      <c r="E661" s="20"/>
      <c r="F661" s="66"/>
      <c r="G661" s="20"/>
      <c r="H661" s="20"/>
      <c r="I661" s="20"/>
      <c r="J661" s="50"/>
      <c r="K661" s="5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19"/>
      <c r="AI661" s="20"/>
      <c r="AJ661" s="20"/>
      <c r="AK661" s="20"/>
      <c r="AL661" s="20"/>
      <c r="AM661" s="24"/>
      <c r="AN661" s="59"/>
      <c r="AO661" s="12"/>
      <c r="AP661" s="60"/>
    </row>
    <row r="662" spans="1:42" ht="15.6" x14ac:dyDescent="0.3">
      <c r="A662" s="23"/>
      <c r="B662" s="20"/>
      <c r="C662" s="20"/>
      <c r="D662" s="20"/>
      <c r="E662" s="20"/>
      <c r="F662" s="66"/>
      <c r="G662" s="20"/>
      <c r="H662" s="20"/>
      <c r="I662" s="20"/>
      <c r="J662" s="50"/>
      <c r="K662" s="5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19"/>
      <c r="AI662" s="20"/>
      <c r="AJ662" s="20"/>
      <c r="AK662" s="20"/>
      <c r="AL662" s="20"/>
      <c r="AM662" s="24"/>
      <c r="AN662" s="59"/>
      <c r="AO662" s="12"/>
      <c r="AP662" s="60"/>
    </row>
    <row r="663" spans="1:42" ht="15.6" x14ac:dyDescent="0.3">
      <c r="A663" s="23"/>
      <c r="B663" s="20"/>
      <c r="C663" s="20"/>
      <c r="D663" s="20"/>
      <c r="E663" s="20"/>
      <c r="F663" s="66"/>
      <c r="G663" s="20"/>
      <c r="H663" s="20"/>
      <c r="I663" s="20"/>
      <c r="J663" s="50"/>
      <c r="K663" s="5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19"/>
      <c r="AI663" s="20"/>
      <c r="AJ663" s="20"/>
      <c r="AK663" s="20"/>
      <c r="AL663" s="20"/>
      <c r="AM663" s="24"/>
      <c r="AN663" s="59"/>
      <c r="AO663" s="12"/>
      <c r="AP663" s="60"/>
    </row>
    <row r="664" spans="1:42" ht="15.6" x14ac:dyDescent="0.3">
      <c r="A664" s="23"/>
      <c r="B664" s="20"/>
      <c r="C664" s="20"/>
      <c r="D664" s="20"/>
      <c r="E664" s="20"/>
      <c r="F664" s="66"/>
      <c r="G664" s="20"/>
      <c r="H664" s="20"/>
      <c r="I664" s="20"/>
      <c r="J664" s="50"/>
      <c r="K664" s="5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19"/>
      <c r="AI664" s="20"/>
      <c r="AJ664" s="20"/>
      <c r="AK664" s="20"/>
      <c r="AL664" s="20"/>
      <c r="AM664" s="24"/>
      <c r="AN664" s="59"/>
      <c r="AO664" s="12"/>
      <c r="AP664" s="60"/>
    </row>
    <row r="665" spans="1:42" ht="15.6" x14ac:dyDescent="0.3">
      <c r="A665" s="23"/>
      <c r="B665" s="20"/>
      <c r="C665" s="20"/>
      <c r="D665" s="20"/>
      <c r="E665" s="20"/>
      <c r="F665" s="66"/>
      <c r="G665" s="20"/>
      <c r="H665" s="20"/>
      <c r="I665" s="20"/>
      <c r="J665" s="50"/>
      <c r="K665" s="5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19"/>
      <c r="AI665" s="20"/>
      <c r="AJ665" s="20"/>
      <c r="AK665" s="20"/>
      <c r="AL665" s="20"/>
      <c r="AM665" s="24"/>
      <c r="AN665" s="59"/>
      <c r="AO665" s="12"/>
      <c r="AP665" s="60"/>
    </row>
    <row r="666" spans="1:42" ht="15.6" x14ac:dyDescent="0.3">
      <c r="A666" s="23"/>
      <c r="B666" s="20"/>
      <c r="C666" s="20"/>
      <c r="D666" s="20"/>
      <c r="E666" s="20"/>
      <c r="F666" s="66"/>
      <c r="G666" s="20"/>
      <c r="H666" s="20"/>
      <c r="I666" s="20"/>
      <c r="J666" s="50"/>
      <c r="K666" s="5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19"/>
      <c r="AI666" s="20"/>
      <c r="AJ666" s="20"/>
      <c r="AK666" s="20"/>
      <c r="AL666" s="20"/>
      <c r="AM666" s="24"/>
      <c r="AN666" s="59"/>
      <c r="AO666" s="12"/>
      <c r="AP666" s="60"/>
    </row>
    <row r="667" spans="1:42" ht="15.6" x14ac:dyDescent="0.3">
      <c r="A667" s="23"/>
      <c r="B667" s="20"/>
      <c r="C667" s="20"/>
      <c r="D667" s="20"/>
      <c r="E667" s="20"/>
      <c r="F667" s="66"/>
      <c r="G667" s="20"/>
      <c r="H667" s="20"/>
      <c r="I667" s="20"/>
      <c r="J667" s="50"/>
      <c r="K667" s="5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19"/>
      <c r="AI667" s="20"/>
      <c r="AJ667" s="20"/>
      <c r="AK667" s="20"/>
      <c r="AL667" s="20"/>
      <c r="AM667" s="24"/>
      <c r="AN667" s="59"/>
      <c r="AO667" s="12"/>
      <c r="AP667" s="60"/>
    </row>
    <row r="668" spans="1:42" ht="15.6" x14ac:dyDescent="0.3">
      <c r="A668" s="23"/>
      <c r="B668" s="20"/>
      <c r="C668" s="20"/>
      <c r="D668" s="20"/>
      <c r="E668" s="20"/>
      <c r="F668" s="66"/>
      <c r="G668" s="20"/>
      <c r="H668" s="20"/>
      <c r="I668" s="20"/>
      <c r="J668" s="50"/>
      <c r="K668" s="5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19"/>
      <c r="AI668" s="20"/>
      <c r="AJ668" s="20"/>
      <c r="AK668" s="20"/>
      <c r="AL668" s="20"/>
      <c r="AM668" s="24"/>
      <c r="AN668" s="59"/>
      <c r="AO668" s="12"/>
      <c r="AP668" s="60"/>
    </row>
    <row r="669" spans="1:42" ht="15.6" x14ac:dyDescent="0.3">
      <c r="A669" s="23"/>
      <c r="B669" s="20"/>
      <c r="C669" s="20"/>
      <c r="D669" s="20"/>
      <c r="E669" s="20"/>
      <c r="F669" s="66"/>
      <c r="G669" s="20"/>
      <c r="H669" s="20"/>
      <c r="I669" s="20"/>
      <c r="J669" s="50"/>
      <c r="K669" s="5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19"/>
      <c r="AI669" s="20"/>
      <c r="AJ669" s="20"/>
      <c r="AK669" s="20"/>
      <c r="AL669" s="20"/>
      <c r="AM669" s="24"/>
      <c r="AN669" s="59"/>
      <c r="AO669" s="12"/>
      <c r="AP669" s="60"/>
    </row>
    <row r="670" spans="1:42" ht="15.6" x14ac:dyDescent="0.3">
      <c r="A670" s="23"/>
      <c r="B670" s="20"/>
      <c r="C670" s="20"/>
      <c r="D670" s="20"/>
      <c r="E670" s="20"/>
      <c r="F670" s="66"/>
      <c r="G670" s="20"/>
      <c r="H670" s="20"/>
      <c r="I670" s="20"/>
      <c r="J670" s="50"/>
      <c r="K670" s="5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19"/>
      <c r="AI670" s="20"/>
      <c r="AJ670" s="20"/>
      <c r="AK670" s="20"/>
      <c r="AL670" s="20"/>
      <c r="AM670" s="24"/>
      <c r="AN670" s="59"/>
      <c r="AO670" s="12"/>
      <c r="AP670" s="60"/>
    </row>
    <row r="671" spans="1:42" ht="15.6" x14ac:dyDescent="0.3">
      <c r="A671" s="23"/>
      <c r="B671" s="20"/>
      <c r="C671" s="20"/>
      <c r="D671" s="20"/>
      <c r="E671" s="20"/>
      <c r="F671" s="66"/>
      <c r="G671" s="20"/>
      <c r="H671" s="20"/>
      <c r="I671" s="20"/>
      <c r="J671" s="50"/>
      <c r="K671" s="5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19"/>
      <c r="AI671" s="20"/>
      <c r="AJ671" s="20"/>
      <c r="AK671" s="20"/>
      <c r="AL671" s="20"/>
      <c r="AM671" s="24"/>
      <c r="AN671" s="59"/>
      <c r="AO671" s="12"/>
      <c r="AP671" s="60"/>
    </row>
    <row r="672" spans="1:42" ht="15.6" x14ac:dyDescent="0.3">
      <c r="A672" s="23"/>
      <c r="B672" s="20"/>
      <c r="C672" s="20"/>
      <c r="D672" s="20"/>
      <c r="E672" s="20"/>
      <c r="F672" s="66"/>
      <c r="G672" s="20"/>
      <c r="H672" s="20"/>
      <c r="I672" s="20"/>
      <c r="J672" s="50"/>
      <c r="K672" s="5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19"/>
      <c r="AI672" s="20"/>
      <c r="AJ672" s="20"/>
      <c r="AK672" s="20"/>
      <c r="AL672" s="20"/>
      <c r="AM672" s="24"/>
      <c r="AN672" s="59"/>
      <c r="AO672" s="12"/>
      <c r="AP672" s="60"/>
    </row>
    <row r="673" spans="1:42" ht="15.6" x14ac:dyDescent="0.3">
      <c r="A673" s="23"/>
      <c r="B673" s="20"/>
      <c r="C673" s="20"/>
      <c r="D673" s="20"/>
      <c r="E673" s="20"/>
      <c r="F673" s="66"/>
      <c r="G673" s="20"/>
      <c r="H673" s="20"/>
      <c r="I673" s="20"/>
      <c r="J673" s="50"/>
      <c r="K673" s="5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19"/>
      <c r="AI673" s="20"/>
      <c r="AJ673" s="20"/>
      <c r="AK673" s="20"/>
      <c r="AL673" s="20"/>
      <c r="AM673" s="24"/>
      <c r="AN673" s="59"/>
      <c r="AO673" s="12"/>
      <c r="AP673" s="60"/>
    </row>
    <row r="674" spans="1:42" ht="15.6" x14ac:dyDescent="0.3">
      <c r="A674" s="23"/>
      <c r="B674" s="20"/>
      <c r="C674" s="20"/>
      <c r="D674" s="20"/>
      <c r="E674" s="20"/>
      <c r="F674" s="66"/>
      <c r="G674" s="20"/>
      <c r="H674" s="20"/>
      <c r="I674" s="20"/>
      <c r="J674" s="50"/>
      <c r="K674" s="5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19"/>
      <c r="AI674" s="20"/>
      <c r="AJ674" s="20"/>
      <c r="AK674" s="20"/>
      <c r="AL674" s="20"/>
      <c r="AM674" s="24"/>
      <c r="AN674" s="59"/>
      <c r="AO674" s="12"/>
      <c r="AP674" s="60"/>
    </row>
    <row r="675" spans="1:42" ht="15.6" x14ac:dyDescent="0.3">
      <c r="A675" s="23"/>
      <c r="B675" s="20"/>
      <c r="C675" s="20"/>
      <c r="D675" s="20"/>
      <c r="E675" s="20"/>
      <c r="F675" s="66"/>
      <c r="G675" s="20"/>
      <c r="H675" s="20"/>
      <c r="I675" s="20"/>
      <c r="J675" s="50"/>
      <c r="K675" s="5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19"/>
      <c r="AI675" s="20"/>
      <c r="AJ675" s="20"/>
      <c r="AK675" s="20"/>
      <c r="AL675" s="20"/>
      <c r="AM675" s="24"/>
      <c r="AN675" s="59"/>
      <c r="AO675" s="12"/>
      <c r="AP675" s="60"/>
    </row>
    <row r="676" spans="1:42" ht="15.6" x14ac:dyDescent="0.3">
      <c r="A676" s="23"/>
      <c r="B676" s="20"/>
      <c r="C676" s="20"/>
      <c r="D676" s="20"/>
      <c r="E676" s="20"/>
      <c r="F676" s="66"/>
      <c r="G676" s="20"/>
      <c r="H676" s="20"/>
      <c r="I676" s="20"/>
      <c r="J676" s="50"/>
      <c r="K676" s="5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19"/>
      <c r="AI676" s="20"/>
      <c r="AJ676" s="20"/>
      <c r="AK676" s="20"/>
      <c r="AL676" s="20"/>
      <c r="AM676" s="24"/>
      <c r="AN676" s="59"/>
      <c r="AO676" s="12"/>
      <c r="AP676" s="60"/>
    </row>
    <row r="677" spans="1:42" ht="15.6" x14ac:dyDescent="0.3">
      <c r="A677" s="23"/>
      <c r="B677" s="20"/>
      <c r="C677" s="20"/>
      <c r="D677" s="20"/>
      <c r="E677" s="20"/>
      <c r="F677" s="66"/>
      <c r="G677" s="20"/>
      <c r="H677" s="20"/>
      <c r="I677" s="20"/>
      <c r="J677" s="50"/>
      <c r="K677" s="5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19"/>
      <c r="AI677" s="20"/>
      <c r="AJ677" s="20"/>
      <c r="AK677" s="20"/>
      <c r="AL677" s="20"/>
      <c r="AM677" s="24"/>
      <c r="AN677" s="59"/>
      <c r="AO677" s="12"/>
      <c r="AP677" s="60"/>
    </row>
    <row r="678" spans="1:42" ht="15.6" x14ac:dyDescent="0.3">
      <c r="A678" s="23"/>
      <c r="B678" s="20"/>
      <c r="C678" s="20"/>
      <c r="D678" s="20"/>
      <c r="E678" s="20"/>
      <c r="F678" s="66"/>
      <c r="G678" s="20"/>
      <c r="H678" s="20"/>
      <c r="I678" s="20"/>
      <c r="J678" s="50"/>
      <c r="K678" s="5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19"/>
      <c r="AI678" s="20"/>
      <c r="AJ678" s="20"/>
      <c r="AK678" s="20"/>
      <c r="AL678" s="20"/>
      <c r="AM678" s="24"/>
      <c r="AN678" s="59"/>
      <c r="AO678" s="12"/>
      <c r="AP678" s="60"/>
    </row>
    <row r="679" spans="1:42" ht="15.6" x14ac:dyDescent="0.3">
      <c r="A679" s="23"/>
      <c r="B679" s="20"/>
      <c r="C679" s="20"/>
      <c r="D679" s="20"/>
      <c r="E679" s="20"/>
      <c r="F679" s="66"/>
      <c r="G679" s="20"/>
      <c r="H679" s="20"/>
      <c r="I679" s="20"/>
      <c r="J679" s="50"/>
      <c r="K679" s="5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19"/>
      <c r="AI679" s="20"/>
      <c r="AJ679" s="20"/>
      <c r="AK679" s="20"/>
      <c r="AL679" s="20"/>
      <c r="AM679" s="24"/>
      <c r="AN679" s="59"/>
      <c r="AO679" s="12"/>
      <c r="AP679" s="60"/>
    </row>
    <row r="680" spans="1:42" ht="15.6" x14ac:dyDescent="0.3">
      <c r="A680" s="23"/>
      <c r="B680" s="20"/>
      <c r="C680" s="20"/>
      <c r="D680" s="20"/>
      <c r="E680" s="20"/>
      <c r="F680" s="66"/>
      <c r="G680" s="20"/>
      <c r="H680" s="20"/>
      <c r="I680" s="20"/>
      <c r="J680" s="50"/>
      <c r="K680" s="5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19"/>
      <c r="AI680" s="20"/>
      <c r="AJ680" s="20"/>
      <c r="AK680" s="20"/>
      <c r="AL680" s="20"/>
      <c r="AM680" s="24"/>
      <c r="AN680" s="59"/>
      <c r="AO680" s="12"/>
      <c r="AP680" s="60"/>
    </row>
    <row r="681" spans="1:42" ht="15.6" x14ac:dyDescent="0.3">
      <c r="A681" s="23"/>
      <c r="B681" s="20"/>
      <c r="C681" s="20"/>
      <c r="D681" s="20"/>
      <c r="E681" s="20"/>
      <c r="F681" s="66"/>
      <c r="G681" s="20"/>
      <c r="H681" s="20"/>
      <c r="I681" s="20"/>
      <c r="J681" s="50"/>
      <c r="K681" s="5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19"/>
      <c r="AI681" s="20"/>
      <c r="AJ681" s="20"/>
      <c r="AK681" s="20"/>
      <c r="AL681" s="20"/>
      <c r="AM681" s="24"/>
      <c r="AN681" s="59"/>
      <c r="AO681" s="12"/>
      <c r="AP681" s="60"/>
    </row>
    <row r="682" spans="1:42" ht="15.6" x14ac:dyDescent="0.3">
      <c r="A682" s="23"/>
      <c r="B682" s="20"/>
      <c r="C682" s="20"/>
      <c r="D682" s="20"/>
      <c r="E682" s="20"/>
      <c r="F682" s="66"/>
      <c r="G682" s="20"/>
      <c r="H682" s="20"/>
      <c r="I682" s="20"/>
      <c r="J682" s="50"/>
      <c r="K682" s="5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19"/>
      <c r="AI682" s="20"/>
      <c r="AJ682" s="20"/>
      <c r="AK682" s="20"/>
      <c r="AL682" s="20"/>
      <c r="AM682" s="24"/>
      <c r="AN682" s="59"/>
      <c r="AO682" s="12"/>
      <c r="AP682" s="60"/>
    </row>
    <row r="683" spans="1:42" ht="15.6" x14ac:dyDescent="0.3">
      <c r="A683" s="23"/>
      <c r="B683" s="20"/>
      <c r="C683" s="20"/>
      <c r="D683" s="20"/>
      <c r="E683" s="20"/>
      <c r="F683" s="66"/>
      <c r="G683" s="20"/>
      <c r="H683" s="20"/>
      <c r="I683" s="20"/>
      <c r="J683" s="50"/>
      <c r="K683" s="5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19"/>
      <c r="AI683" s="20"/>
      <c r="AJ683" s="20"/>
      <c r="AK683" s="20"/>
      <c r="AL683" s="20"/>
      <c r="AM683" s="24"/>
      <c r="AN683" s="59"/>
      <c r="AO683" s="12"/>
      <c r="AP683" s="60"/>
    </row>
    <row r="684" spans="1:42" ht="15.6" x14ac:dyDescent="0.3">
      <c r="A684" s="23"/>
      <c r="B684" s="20"/>
      <c r="C684" s="20"/>
      <c r="D684" s="20"/>
      <c r="E684" s="20"/>
      <c r="F684" s="66"/>
      <c r="G684" s="20"/>
      <c r="H684" s="20"/>
      <c r="I684" s="20"/>
      <c r="J684" s="50"/>
      <c r="K684" s="5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19"/>
      <c r="AI684" s="20"/>
      <c r="AJ684" s="20"/>
      <c r="AK684" s="20"/>
      <c r="AL684" s="20"/>
      <c r="AM684" s="24"/>
      <c r="AN684" s="59"/>
      <c r="AO684" s="12"/>
      <c r="AP684" s="60"/>
    </row>
    <row r="685" spans="1:42" ht="15.6" x14ac:dyDescent="0.3">
      <c r="A685" s="23"/>
      <c r="B685" s="20"/>
      <c r="C685" s="20"/>
      <c r="D685" s="20"/>
      <c r="E685" s="20"/>
      <c r="F685" s="66"/>
      <c r="G685" s="20"/>
      <c r="H685" s="20"/>
      <c r="I685" s="20"/>
      <c r="J685" s="50"/>
      <c r="K685" s="5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19"/>
      <c r="AI685" s="20"/>
      <c r="AJ685" s="20"/>
      <c r="AK685" s="20"/>
      <c r="AL685" s="20"/>
      <c r="AM685" s="24"/>
      <c r="AN685" s="59"/>
      <c r="AO685" s="12"/>
      <c r="AP685" s="60"/>
    </row>
    <row r="686" spans="1:42" ht="15.6" x14ac:dyDescent="0.3">
      <c r="A686" s="23"/>
      <c r="B686" s="20"/>
      <c r="C686" s="20"/>
      <c r="D686" s="20"/>
      <c r="E686" s="20"/>
      <c r="F686" s="66"/>
      <c r="G686" s="20"/>
      <c r="H686" s="20"/>
      <c r="I686" s="20"/>
      <c r="J686" s="50"/>
      <c r="K686" s="5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19"/>
      <c r="AI686" s="20"/>
      <c r="AJ686" s="20"/>
      <c r="AK686" s="20"/>
      <c r="AL686" s="20"/>
      <c r="AM686" s="24"/>
      <c r="AN686" s="59"/>
      <c r="AO686" s="12"/>
      <c r="AP686" s="60"/>
    </row>
    <row r="687" spans="1:42" ht="15.6" x14ac:dyDescent="0.3">
      <c r="A687" s="23"/>
      <c r="B687" s="20"/>
      <c r="C687" s="20"/>
      <c r="D687" s="20"/>
      <c r="E687" s="20"/>
      <c r="F687" s="66"/>
      <c r="G687" s="20"/>
      <c r="H687" s="20"/>
      <c r="I687" s="20"/>
      <c r="J687" s="50"/>
      <c r="K687" s="5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19"/>
      <c r="AI687" s="20"/>
      <c r="AJ687" s="20"/>
      <c r="AK687" s="20"/>
      <c r="AL687" s="20"/>
      <c r="AM687" s="24"/>
      <c r="AN687" s="59"/>
      <c r="AO687" s="12"/>
      <c r="AP687" s="60"/>
    </row>
    <row r="688" spans="1:42" ht="15.6" x14ac:dyDescent="0.3">
      <c r="A688" s="23"/>
      <c r="B688" s="20"/>
      <c r="C688" s="20"/>
      <c r="D688" s="20"/>
      <c r="E688" s="20"/>
      <c r="F688" s="66"/>
      <c r="G688" s="20"/>
      <c r="H688" s="20"/>
      <c r="I688" s="20"/>
      <c r="J688" s="50"/>
      <c r="K688" s="5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19"/>
      <c r="AI688" s="20"/>
      <c r="AJ688" s="20"/>
      <c r="AK688" s="20"/>
      <c r="AL688" s="20"/>
      <c r="AM688" s="24"/>
      <c r="AN688" s="59"/>
      <c r="AO688" s="12"/>
      <c r="AP688" s="60"/>
    </row>
    <row r="689" spans="1:42" ht="15.6" x14ac:dyDescent="0.3">
      <c r="A689" s="23"/>
      <c r="B689" s="20"/>
      <c r="C689" s="20"/>
      <c r="D689" s="20"/>
      <c r="E689" s="20"/>
      <c r="F689" s="66"/>
      <c r="G689" s="20"/>
      <c r="H689" s="20"/>
      <c r="I689" s="20"/>
      <c r="J689" s="50"/>
      <c r="K689" s="5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19"/>
      <c r="AI689" s="20"/>
      <c r="AJ689" s="20"/>
      <c r="AK689" s="20"/>
      <c r="AL689" s="20"/>
      <c r="AM689" s="24"/>
      <c r="AN689" s="59"/>
      <c r="AO689" s="12"/>
      <c r="AP689" s="60"/>
    </row>
    <row r="690" spans="1:42" ht="15.6" x14ac:dyDescent="0.3">
      <c r="A690" s="23"/>
      <c r="B690" s="20"/>
      <c r="C690" s="20"/>
      <c r="D690" s="20"/>
      <c r="E690" s="20"/>
      <c r="F690" s="66"/>
      <c r="G690" s="20"/>
      <c r="H690" s="20"/>
      <c r="I690" s="20"/>
      <c r="J690" s="50"/>
      <c r="K690" s="5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19"/>
      <c r="AI690" s="20"/>
      <c r="AJ690" s="20"/>
      <c r="AK690" s="20"/>
      <c r="AL690" s="20"/>
      <c r="AM690" s="24"/>
      <c r="AN690" s="59"/>
      <c r="AO690" s="12"/>
      <c r="AP690" s="60"/>
    </row>
    <row r="691" spans="1:42" ht="15.6" x14ac:dyDescent="0.3">
      <c r="A691" s="23"/>
      <c r="B691" s="20"/>
      <c r="C691" s="20"/>
      <c r="D691" s="20"/>
      <c r="E691" s="20"/>
      <c r="F691" s="66"/>
      <c r="G691" s="20"/>
      <c r="H691" s="20"/>
      <c r="I691" s="20"/>
      <c r="J691" s="50"/>
      <c r="K691" s="5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19"/>
      <c r="AI691" s="20"/>
      <c r="AJ691" s="20"/>
      <c r="AK691" s="20"/>
      <c r="AL691" s="20"/>
      <c r="AM691" s="24"/>
      <c r="AN691" s="59"/>
      <c r="AO691" s="12"/>
      <c r="AP691" s="60"/>
    </row>
    <row r="692" spans="1:42" ht="15.6" x14ac:dyDescent="0.3">
      <c r="A692" s="23"/>
      <c r="B692" s="20"/>
      <c r="C692" s="20"/>
      <c r="D692" s="20"/>
      <c r="E692" s="20"/>
      <c r="F692" s="66"/>
      <c r="G692" s="20"/>
      <c r="H692" s="20"/>
      <c r="I692" s="20"/>
      <c r="J692" s="50"/>
      <c r="K692" s="5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19"/>
      <c r="AI692" s="20"/>
      <c r="AJ692" s="20"/>
      <c r="AK692" s="20"/>
      <c r="AL692" s="20"/>
      <c r="AM692" s="24"/>
      <c r="AN692" s="59"/>
      <c r="AO692" s="12"/>
      <c r="AP692" s="60"/>
    </row>
    <row r="693" spans="1:42" ht="15.6" x14ac:dyDescent="0.3">
      <c r="A693" s="23"/>
      <c r="B693" s="20"/>
      <c r="C693" s="20"/>
      <c r="D693" s="20"/>
      <c r="E693" s="20"/>
      <c r="F693" s="66"/>
      <c r="G693" s="20"/>
      <c r="H693" s="20"/>
      <c r="I693" s="20"/>
      <c r="J693" s="50"/>
      <c r="K693" s="5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19"/>
      <c r="AI693" s="20"/>
      <c r="AJ693" s="20"/>
      <c r="AK693" s="20"/>
      <c r="AL693" s="20"/>
      <c r="AM693" s="24"/>
      <c r="AN693" s="59"/>
      <c r="AO693" s="12"/>
      <c r="AP693" s="60"/>
    </row>
    <row r="694" spans="1:42" ht="15.6" x14ac:dyDescent="0.3">
      <c r="A694" s="23"/>
      <c r="B694" s="20"/>
      <c r="C694" s="20"/>
      <c r="D694" s="20"/>
      <c r="E694" s="20"/>
      <c r="F694" s="66"/>
      <c r="G694" s="20"/>
      <c r="H694" s="20"/>
      <c r="I694" s="20"/>
      <c r="J694" s="50"/>
      <c r="K694" s="5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19"/>
      <c r="AI694" s="20"/>
      <c r="AJ694" s="20"/>
      <c r="AK694" s="20"/>
      <c r="AL694" s="20"/>
      <c r="AM694" s="24"/>
      <c r="AN694" s="59"/>
      <c r="AO694" s="12"/>
      <c r="AP694" s="60"/>
    </row>
    <row r="695" spans="1:42" ht="15.6" x14ac:dyDescent="0.3">
      <c r="A695" s="23"/>
      <c r="B695" s="20"/>
      <c r="C695" s="20"/>
      <c r="D695" s="20"/>
      <c r="E695" s="20"/>
      <c r="F695" s="66"/>
      <c r="G695" s="20"/>
      <c r="H695" s="20"/>
      <c r="I695" s="20"/>
      <c r="J695" s="50"/>
      <c r="K695" s="5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19"/>
      <c r="AI695" s="20"/>
      <c r="AJ695" s="20"/>
      <c r="AK695" s="20"/>
      <c r="AL695" s="20"/>
      <c r="AM695" s="24"/>
      <c r="AN695" s="59"/>
      <c r="AO695" s="12"/>
      <c r="AP695" s="60"/>
    </row>
    <row r="696" spans="1:42" ht="15.6" x14ac:dyDescent="0.3">
      <c r="A696" s="23"/>
      <c r="B696" s="20"/>
      <c r="C696" s="20"/>
      <c r="D696" s="20"/>
      <c r="E696" s="20"/>
      <c r="F696" s="66"/>
      <c r="G696" s="20"/>
      <c r="H696" s="20"/>
      <c r="I696" s="20"/>
      <c r="J696" s="50"/>
      <c r="K696" s="5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19"/>
      <c r="AI696" s="20"/>
      <c r="AJ696" s="20"/>
      <c r="AK696" s="20"/>
      <c r="AL696" s="20"/>
      <c r="AM696" s="24"/>
      <c r="AN696" s="59"/>
      <c r="AO696" s="12"/>
      <c r="AP696" s="60"/>
    </row>
    <row r="697" spans="1:42" ht="15.6" x14ac:dyDescent="0.3">
      <c r="A697" s="23"/>
      <c r="B697" s="20"/>
      <c r="C697" s="20"/>
      <c r="D697" s="20"/>
      <c r="E697" s="20"/>
      <c r="F697" s="66"/>
      <c r="G697" s="20"/>
      <c r="H697" s="20"/>
      <c r="I697" s="20"/>
      <c r="J697" s="50"/>
      <c r="K697" s="5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19"/>
      <c r="AI697" s="20"/>
      <c r="AJ697" s="20"/>
      <c r="AK697" s="20"/>
      <c r="AL697" s="20"/>
      <c r="AM697" s="24"/>
      <c r="AN697" s="59"/>
      <c r="AO697" s="12"/>
      <c r="AP697" s="60"/>
    </row>
    <row r="698" spans="1:42" ht="15.6" x14ac:dyDescent="0.3">
      <c r="A698" s="23"/>
      <c r="B698" s="20"/>
      <c r="C698" s="20"/>
      <c r="D698" s="20"/>
      <c r="E698" s="20"/>
      <c r="F698" s="66"/>
      <c r="G698" s="20"/>
      <c r="H698" s="20"/>
      <c r="I698" s="20"/>
      <c r="J698" s="50"/>
      <c r="K698" s="5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19"/>
      <c r="AI698" s="20"/>
      <c r="AJ698" s="20"/>
      <c r="AK698" s="20"/>
      <c r="AL698" s="20"/>
      <c r="AM698" s="24"/>
      <c r="AN698" s="59"/>
      <c r="AO698" s="12"/>
      <c r="AP698" s="60"/>
    </row>
    <row r="699" spans="1:42" ht="15.6" x14ac:dyDescent="0.3">
      <c r="A699" s="23"/>
      <c r="B699" s="20"/>
      <c r="C699" s="20"/>
      <c r="D699" s="20"/>
      <c r="E699" s="20"/>
      <c r="F699" s="66"/>
      <c r="G699" s="20"/>
      <c r="H699" s="20"/>
      <c r="I699" s="20"/>
      <c r="J699" s="50"/>
      <c r="K699" s="5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19"/>
      <c r="AI699" s="20"/>
      <c r="AJ699" s="20"/>
      <c r="AK699" s="20"/>
      <c r="AL699" s="20"/>
      <c r="AM699" s="24"/>
      <c r="AN699" s="59"/>
      <c r="AO699" s="12"/>
      <c r="AP699" s="60"/>
    </row>
    <row r="700" spans="1:42" ht="15.6" x14ac:dyDescent="0.3">
      <c r="A700" s="23"/>
      <c r="B700" s="20"/>
      <c r="C700" s="20"/>
      <c r="D700" s="20"/>
      <c r="E700" s="20"/>
      <c r="F700" s="66"/>
      <c r="G700" s="20"/>
      <c r="H700" s="20"/>
      <c r="I700" s="20"/>
      <c r="J700" s="50"/>
      <c r="K700" s="5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19"/>
      <c r="AI700" s="20"/>
      <c r="AJ700" s="20"/>
      <c r="AK700" s="20"/>
      <c r="AL700" s="20"/>
      <c r="AM700" s="24"/>
      <c r="AN700" s="59"/>
      <c r="AO700" s="12"/>
      <c r="AP700" s="60"/>
    </row>
    <row r="701" spans="1:42" ht="15.6" x14ac:dyDescent="0.3">
      <c r="A701" s="23"/>
      <c r="B701" s="20"/>
      <c r="C701" s="20"/>
      <c r="D701" s="20"/>
      <c r="E701" s="20"/>
      <c r="F701" s="66"/>
      <c r="G701" s="20"/>
      <c r="H701" s="20"/>
      <c r="I701" s="20"/>
      <c r="J701" s="50"/>
      <c r="K701" s="5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19"/>
      <c r="AI701" s="20"/>
      <c r="AJ701" s="20"/>
      <c r="AK701" s="20"/>
      <c r="AL701" s="20"/>
      <c r="AM701" s="24"/>
      <c r="AN701" s="59"/>
      <c r="AO701" s="12"/>
      <c r="AP701" s="60"/>
    </row>
    <row r="702" spans="1:42" ht="15.6" x14ac:dyDescent="0.3">
      <c r="A702" s="23"/>
      <c r="B702" s="20"/>
      <c r="C702" s="20"/>
      <c r="D702" s="20"/>
      <c r="E702" s="20"/>
      <c r="F702" s="66"/>
      <c r="G702" s="20"/>
      <c r="H702" s="20"/>
      <c r="I702" s="20"/>
      <c r="J702" s="50"/>
      <c r="K702" s="5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19"/>
      <c r="AI702" s="20"/>
      <c r="AJ702" s="20"/>
      <c r="AK702" s="20"/>
      <c r="AL702" s="20"/>
      <c r="AM702" s="24"/>
      <c r="AN702" s="59"/>
      <c r="AO702" s="12"/>
      <c r="AP702" s="60"/>
    </row>
    <row r="703" spans="1:42" ht="15.6" x14ac:dyDescent="0.3">
      <c r="A703" s="23"/>
      <c r="B703" s="20"/>
      <c r="C703" s="20"/>
      <c r="D703" s="20"/>
      <c r="E703" s="20"/>
      <c r="F703" s="66"/>
      <c r="G703" s="20"/>
      <c r="H703" s="20"/>
      <c r="I703" s="20"/>
      <c r="J703" s="50"/>
      <c r="K703" s="5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19"/>
      <c r="AI703" s="20"/>
      <c r="AJ703" s="20"/>
      <c r="AK703" s="20"/>
      <c r="AL703" s="20"/>
      <c r="AM703" s="24"/>
      <c r="AN703" s="59"/>
      <c r="AO703" s="12"/>
      <c r="AP703" s="60"/>
    </row>
    <row r="704" spans="1:42" ht="15.6" x14ac:dyDescent="0.3">
      <c r="A704" s="23"/>
      <c r="B704" s="20"/>
      <c r="C704" s="20"/>
      <c r="D704" s="20"/>
      <c r="E704" s="20"/>
      <c r="F704" s="66"/>
      <c r="G704" s="20"/>
      <c r="H704" s="20"/>
      <c r="I704" s="20"/>
      <c r="J704" s="50"/>
      <c r="K704" s="5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19"/>
      <c r="AI704" s="20"/>
      <c r="AJ704" s="20"/>
      <c r="AK704" s="20"/>
      <c r="AL704" s="20"/>
      <c r="AM704" s="24"/>
      <c r="AN704" s="59"/>
      <c r="AO704" s="12"/>
      <c r="AP704" s="60"/>
    </row>
    <row r="705" spans="1:42" ht="15.6" x14ac:dyDescent="0.3">
      <c r="A705" s="23"/>
      <c r="B705" s="20"/>
      <c r="C705" s="20"/>
      <c r="D705" s="20"/>
      <c r="E705" s="20"/>
      <c r="F705" s="66"/>
      <c r="G705" s="20"/>
      <c r="H705" s="20"/>
      <c r="I705" s="20"/>
      <c r="J705" s="50"/>
      <c r="K705" s="5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19"/>
      <c r="AI705" s="20"/>
      <c r="AJ705" s="20"/>
      <c r="AK705" s="20"/>
      <c r="AL705" s="20"/>
      <c r="AM705" s="24"/>
      <c r="AN705" s="59"/>
      <c r="AO705" s="12"/>
      <c r="AP705" s="60"/>
    </row>
    <row r="706" spans="1:42" ht="15.6" x14ac:dyDescent="0.3">
      <c r="A706" s="23"/>
      <c r="B706" s="20"/>
      <c r="C706" s="20"/>
      <c r="D706" s="20"/>
      <c r="E706" s="20"/>
      <c r="F706" s="66"/>
      <c r="G706" s="20"/>
      <c r="H706" s="20"/>
      <c r="I706" s="20"/>
      <c r="J706" s="50"/>
      <c r="K706" s="5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19"/>
      <c r="AI706" s="20"/>
      <c r="AJ706" s="20"/>
      <c r="AK706" s="20"/>
      <c r="AL706" s="20"/>
      <c r="AM706" s="24"/>
      <c r="AN706" s="59"/>
      <c r="AO706" s="12"/>
      <c r="AP706" s="60"/>
    </row>
    <row r="707" spans="1:42" ht="15.6" x14ac:dyDescent="0.3">
      <c r="A707" s="23"/>
      <c r="B707" s="20"/>
      <c r="C707" s="20"/>
      <c r="D707" s="20"/>
      <c r="E707" s="20"/>
      <c r="F707" s="66"/>
      <c r="G707" s="20"/>
      <c r="H707" s="20"/>
      <c r="I707" s="20"/>
      <c r="J707" s="50"/>
      <c r="K707" s="5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19"/>
      <c r="AI707" s="20"/>
      <c r="AJ707" s="20"/>
      <c r="AK707" s="20"/>
      <c r="AL707" s="20"/>
      <c r="AM707" s="24"/>
      <c r="AN707" s="59"/>
      <c r="AO707" s="12"/>
      <c r="AP707" s="60"/>
    </row>
    <row r="708" spans="1:42" ht="15.6" x14ac:dyDescent="0.3">
      <c r="A708" s="23"/>
      <c r="B708" s="20"/>
      <c r="C708" s="20"/>
      <c r="D708" s="20"/>
      <c r="E708" s="20"/>
      <c r="F708" s="66"/>
      <c r="G708" s="20"/>
      <c r="H708" s="20"/>
      <c r="I708" s="20"/>
      <c r="J708" s="50"/>
      <c r="K708" s="5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19"/>
      <c r="AI708" s="20"/>
      <c r="AJ708" s="20"/>
      <c r="AK708" s="20"/>
      <c r="AL708" s="20"/>
      <c r="AM708" s="24"/>
      <c r="AN708" s="59"/>
      <c r="AO708" s="12"/>
      <c r="AP708" s="60"/>
    </row>
    <row r="709" spans="1:42" ht="15.6" x14ac:dyDescent="0.3">
      <c r="A709" s="23"/>
      <c r="B709" s="20"/>
      <c r="C709" s="20"/>
      <c r="D709" s="20"/>
      <c r="E709" s="20"/>
      <c r="F709" s="66"/>
      <c r="G709" s="20"/>
      <c r="H709" s="20"/>
      <c r="I709" s="20"/>
      <c r="J709" s="50"/>
      <c r="K709" s="5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19"/>
      <c r="AI709" s="20"/>
      <c r="AJ709" s="20"/>
      <c r="AK709" s="20"/>
      <c r="AL709" s="20"/>
      <c r="AM709" s="24"/>
      <c r="AN709" s="59"/>
      <c r="AO709" s="12"/>
      <c r="AP709" s="60"/>
    </row>
    <row r="710" spans="1:42" ht="15.6" x14ac:dyDescent="0.3">
      <c r="A710" s="23"/>
      <c r="B710" s="20"/>
      <c r="C710" s="20"/>
      <c r="D710" s="20"/>
      <c r="E710" s="20"/>
      <c r="F710" s="66"/>
      <c r="G710" s="20"/>
      <c r="H710" s="20"/>
      <c r="I710" s="20"/>
      <c r="J710" s="50"/>
      <c r="K710" s="5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19"/>
      <c r="AI710" s="20"/>
      <c r="AJ710" s="20"/>
      <c r="AK710" s="20"/>
      <c r="AL710" s="20"/>
      <c r="AM710" s="24"/>
      <c r="AN710" s="59"/>
      <c r="AO710" s="12"/>
      <c r="AP710" s="60"/>
    </row>
    <row r="711" spans="1:42" ht="15.6" x14ac:dyDescent="0.3">
      <c r="A711" s="23"/>
      <c r="B711" s="20"/>
      <c r="C711" s="20"/>
      <c r="D711" s="20"/>
      <c r="E711" s="20"/>
      <c r="F711" s="66"/>
      <c r="G711" s="20"/>
      <c r="H711" s="20"/>
      <c r="I711" s="20"/>
      <c r="J711" s="50"/>
      <c r="K711" s="5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19"/>
      <c r="AI711" s="20"/>
      <c r="AJ711" s="20"/>
      <c r="AK711" s="20"/>
      <c r="AL711" s="20"/>
      <c r="AM711" s="24"/>
      <c r="AN711" s="59"/>
      <c r="AO711" s="12"/>
      <c r="AP711" s="60"/>
    </row>
    <row r="712" spans="1:42" ht="15.6" x14ac:dyDescent="0.3">
      <c r="A712" s="23"/>
      <c r="B712" s="20"/>
      <c r="C712" s="20"/>
      <c r="D712" s="20"/>
      <c r="E712" s="20"/>
      <c r="F712" s="66"/>
      <c r="G712" s="20"/>
      <c r="H712" s="20"/>
      <c r="I712" s="20"/>
      <c r="J712" s="50"/>
      <c r="K712" s="5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19"/>
      <c r="AI712" s="20"/>
      <c r="AJ712" s="20"/>
      <c r="AK712" s="20"/>
      <c r="AL712" s="20"/>
      <c r="AM712" s="24"/>
      <c r="AN712" s="59"/>
      <c r="AO712" s="12"/>
      <c r="AP712" s="60"/>
    </row>
    <row r="713" spans="1:42" ht="15.6" x14ac:dyDescent="0.3">
      <c r="A713" s="23"/>
      <c r="B713" s="20"/>
      <c r="C713" s="20"/>
      <c r="D713" s="20"/>
      <c r="E713" s="20"/>
      <c r="F713" s="66"/>
      <c r="G713" s="20"/>
      <c r="H713" s="20"/>
      <c r="I713" s="20"/>
      <c r="J713" s="50"/>
      <c r="K713" s="5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19"/>
      <c r="AI713" s="20"/>
      <c r="AJ713" s="20"/>
      <c r="AK713" s="20"/>
      <c r="AL713" s="20"/>
      <c r="AM713" s="24"/>
      <c r="AN713" s="59"/>
      <c r="AO713" s="12"/>
      <c r="AP713" s="60"/>
    </row>
    <row r="714" spans="1:42" ht="15.6" x14ac:dyDescent="0.3">
      <c r="A714" s="23"/>
      <c r="B714" s="20"/>
      <c r="C714" s="20"/>
      <c r="D714" s="20"/>
      <c r="E714" s="20"/>
      <c r="F714" s="66"/>
      <c r="G714" s="20"/>
      <c r="H714" s="20"/>
      <c r="I714" s="20"/>
      <c r="J714" s="50"/>
      <c r="K714" s="5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19"/>
      <c r="AI714" s="20"/>
      <c r="AJ714" s="20"/>
      <c r="AK714" s="20"/>
      <c r="AL714" s="20"/>
      <c r="AM714" s="24"/>
      <c r="AN714" s="59"/>
      <c r="AO714" s="12"/>
      <c r="AP714" s="60"/>
    </row>
    <row r="715" spans="1:42" ht="15.6" x14ac:dyDescent="0.3">
      <c r="A715" s="23"/>
      <c r="B715" s="20"/>
      <c r="C715" s="20"/>
      <c r="D715" s="20"/>
      <c r="E715" s="20"/>
      <c r="F715" s="66"/>
      <c r="G715" s="20"/>
      <c r="H715" s="20"/>
      <c r="I715" s="20"/>
      <c r="J715" s="50"/>
      <c r="K715" s="5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19"/>
      <c r="AI715" s="20"/>
      <c r="AJ715" s="20"/>
      <c r="AK715" s="20"/>
      <c r="AL715" s="20"/>
      <c r="AM715" s="24"/>
      <c r="AN715" s="59"/>
      <c r="AO715" s="12"/>
      <c r="AP715" s="60"/>
    </row>
    <row r="716" spans="1:42" ht="15.6" x14ac:dyDescent="0.3">
      <c r="A716" s="23"/>
      <c r="B716" s="20"/>
      <c r="C716" s="20"/>
      <c r="D716" s="20"/>
      <c r="E716" s="20"/>
      <c r="F716" s="66"/>
      <c r="G716" s="20"/>
      <c r="H716" s="20"/>
      <c r="I716" s="20"/>
      <c r="J716" s="50"/>
      <c r="K716" s="5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19"/>
      <c r="AI716" s="20"/>
      <c r="AJ716" s="20"/>
      <c r="AK716" s="20"/>
      <c r="AL716" s="20"/>
      <c r="AM716" s="24"/>
      <c r="AN716" s="59"/>
      <c r="AO716" s="12"/>
      <c r="AP716" s="60"/>
    </row>
    <row r="717" spans="1:42" ht="15.6" x14ac:dyDescent="0.3">
      <c r="A717" s="23"/>
      <c r="B717" s="20"/>
      <c r="C717" s="20"/>
      <c r="D717" s="20"/>
      <c r="E717" s="20"/>
      <c r="F717" s="66"/>
      <c r="G717" s="20"/>
      <c r="H717" s="20"/>
      <c r="I717" s="20"/>
      <c r="J717" s="50"/>
      <c r="K717" s="5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19"/>
      <c r="AI717" s="20"/>
      <c r="AJ717" s="20"/>
      <c r="AK717" s="20"/>
      <c r="AL717" s="20"/>
      <c r="AM717" s="24"/>
      <c r="AN717" s="59"/>
      <c r="AO717" s="12"/>
      <c r="AP717" s="60"/>
    </row>
    <row r="718" spans="1:42" ht="15.6" x14ac:dyDescent="0.3">
      <c r="A718" s="23"/>
      <c r="B718" s="20"/>
      <c r="C718" s="20"/>
      <c r="D718" s="20"/>
      <c r="E718" s="20"/>
      <c r="F718" s="66"/>
      <c r="G718" s="20"/>
      <c r="H718" s="20"/>
      <c r="I718" s="20"/>
      <c r="J718" s="50"/>
      <c r="K718" s="5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19"/>
      <c r="AI718" s="20"/>
      <c r="AJ718" s="20"/>
      <c r="AK718" s="20"/>
      <c r="AL718" s="20"/>
      <c r="AM718" s="24"/>
      <c r="AN718" s="59"/>
      <c r="AO718" s="12"/>
      <c r="AP718" s="60"/>
    </row>
    <row r="719" spans="1:42" ht="15.6" x14ac:dyDescent="0.3">
      <c r="A719" s="23"/>
      <c r="B719" s="20"/>
      <c r="C719" s="20"/>
      <c r="D719" s="20"/>
      <c r="E719" s="20"/>
      <c r="F719" s="66"/>
      <c r="G719" s="20"/>
      <c r="H719" s="20"/>
      <c r="I719" s="20"/>
      <c r="J719" s="50"/>
      <c r="K719" s="5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19"/>
      <c r="AI719" s="20"/>
      <c r="AJ719" s="20"/>
      <c r="AK719" s="20"/>
      <c r="AL719" s="20"/>
      <c r="AM719" s="24"/>
      <c r="AN719" s="59"/>
      <c r="AO719" s="12"/>
      <c r="AP719" s="60"/>
    </row>
    <row r="720" spans="1:42" ht="15.6" x14ac:dyDescent="0.3">
      <c r="A720" s="23"/>
      <c r="B720" s="20"/>
      <c r="C720" s="20"/>
      <c r="D720" s="20"/>
      <c r="E720" s="20"/>
      <c r="F720" s="66"/>
      <c r="G720" s="20"/>
      <c r="H720" s="20"/>
      <c r="I720" s="20"/>
      <c r="J720" s="50"/>
      <c r="K720" s="5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19"/>
      <c r="AI720" s="20"/>
      <c r="AJ720" s="20"/>
      <c r="AK720" s="20"/>
      <c r="AL720" s="20"/>
      <c r="AM720" s="24"/>
      <c r="AN720" s="59"/>
      <c r="AO720" s="12"/>
      <c r="AP720" s="60"/>
    </row>
    <row r="721" spans="1:42" ht="15.6" x14ac:dyDescent="0.3">
      <c r="A721" s="23"/>
      <c r="B721" s="20"/>
      <c r="C721" s="20"/>
      <c r="D721" s="20"/>
      <c r="E721" s="20"/>
      <c r="F721" s="66"/>
      <c r="G721" s="20"/>
      <c r="H721" s="20"/>
      <c r="I721" s="20"/>
      <c r="J721" s="50"/>
      <c r="K721" s="5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19"/>
      <c r="AI721" s="20"/>
      <c r="AJ721" s="20"/>
      <c r="AK721" s="20"/>
      <c r="AL721" s="20"/>
      <c r="AM721" s="24"/>
      <c r="AN721" s="59"/>
      <c r="AO721" s="12"/>
      <c r="AP721" s="60"/>
    </row>
    <row r="722" spans="1:42" ht="15.6" x14ac:dyDescent="0.3">
      <c r="A722" s="23"/>
      <c r="B722" s="20"/>
      <c r="C722" s="20"/>
      <c r="D722" s="20"/>
      <c r="E722" s="20"/>
      <c r="F722" s="66"/>
      <c r="G722" s="20"/>
      <c r="H722" s="20"/>
      <c r="I722" s="20"/>
      <c r="J722" s="50"/>
      <c r="K722" s="5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19"/>
      <c r="AI722" s="20"/>
      <c r="AJ722" s="20"/>
      <c r="AK722" s="20"/>
      <c r="AL722" s="20"/>
      <c r="AM722" s="24"/>
      <c r="AN722" s="59"/>
      <c r="AO722" s="12"/>
      <c r="AP722" s="60"/>
    </row>
    <row r="723" spans="1:42" ht="15.6" x14ac:dyDescent="0.3">
      <c r="A723" s="23"/>
      <c r="B723" s="20"/>
      <c r="C723" s="20"/>
      <c r="D723" s="20"/>
      <c r="E723" s="20"/>
      <c r="F723" s="66"/>
      <c r="G723" s="20"/>
      <c r="H723" s="20"/>
      <c r="I723" s="20"/>
      <c r="J723" s="50"/>
      <c r="K723" s="5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19"/>
      <c r="AI723" s="20"/>
      <c r="AJ723" s="20"/>
      <c r="AK723" s="20"/>
      <c r="AL723" s="20"/>
      <c r="AM723" s="24"/>
      <c r="AN723" s="59"/>
      <c r="AO723" s="12"/>
      <c r="AP723" s="60"/>
    </row>
    <row r="724" spans="1:42" ht="15.6" x14ac:dyDescent="0.3">
      <c r="A724" s="23"/>
      <c r="B724" s="20"/>
      <c r="C724" s="20"/>
      <c r="D724" s="20"/>
      <c r="E724" s="20"/>
      <c r="F724" s="66"/>
      <c r="G724" s="20"/>
      <c r="H724" s="20"/>
      <c r="I724" s="20"/>
      <c r="J724" s="50"/>
      <c r="K724" s="5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19"/>
      <c r="AI724" s="20"/>
      <c r="AJ724" s="20"/>
      <c r="AK724" s="20"/>
      <c r="AL724" s="20"/>
      <c r="AM724" s="24"/>
      <c r="AN724" s="59"/>
      <c r="AO724" s="12"/>
      <c r="AP724" s="60"/>
    </row>
    <row r="725" spans="1:42" ht="15.6" x14ac:dyDescent="0.3">
      <c r="A725" s="23"/>
      <c r="B725" s="20"/>
      <c r="C725" s="20"/>
      <c r="D725" s="20"/>
      <c r="E725" s="20"/>
      <c r="F725" s="66"/>
      <c r="G725" s="20"/>
      <c r="H725" s="20"/>
      <c r="I725" s="20"/>
      <c r="J725" s="50"/>
      <c r="K725" s="5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19"/>
      <c r="AI725" s="20"/>
      <c r="AJ725" s="20"/>
      <c r="AK725" s="20"/>
      <c r="AL725" s="20"/>
      <c r="AM725" s="24"/>
      <c r="AN725" s="59"/>
      <c r="AO725" s="12"/>
      <c r="AP725" s="60"/>
    </row>
    <row r="726" spans="1:42" ht="15.6" x14ac:dyDescent="0.3">
      <c r="A726" s="23"/>
      <c r="B726" s="20"/>
      <c r="C726" s="20"/>
      <c r="D726" s="20"/>
      <c r="E726" s="20"/>
      <c r="F726" s="66"/>
      <c r="G726" s="20"/>
      <c r="H726" s="20"/>
      <c r="I726" s="20"/>
      <c r="J726" s="50"/>
      <c r="K726" s="5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19"/>
      <c r="AI726" s="20"/>
      <c r="AJ726" s="20"/>
      <c r="AK726" s="20"/>
      <c r="AL726" s="20"/>
      <c r="AM726" s="24"/>
      <c r="AN726" s="59"/>
      <c r="AO726" s="12"/>
      <c r="AP726" s="60"/>
    </row>
    <row r="727" spans="1:42" ht="15.6" x14ac:dyDescent="0.3">
      <c r="A727" s="23"/>
      <c r="B727" s="20"/>
      <c r="C727" s="20"/>
      <c r="D727" s="20"/>
      <c r="E727" s="20"/>
      <c r="F727" s="66"/>
      <c r="G727" s="20"/>
      <c r="H727" s="20"/>
      <c r="I727" s="20"/>
      <c r="J727" s="50"/>
      <c r="K727" s="5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19"/>
      <c r="AI727" s="20"/>
      <c r="AJ727" s="20"/>
      <c r="AK727" s="20"/>
      <c r="AL727" s="20"/>
      <c r="AM727" s="24"/>
      <c r="AN727" s="59"/>
      <c r="AO727" s="12"/>
      <c r="AP727" s="60"/>
    </row>
    <row r="728" spans="1:42" ht="15.6" x14ac:dyDescent="0.3">
      <c r="A728" s="23"/>
      <c r="B728" s="20"/>
      <c r="C728" s="20"/>
      <c r="D728" s="20"/>
      <c r="E728" s="20"/>
      <c r="F728" s="66"/>
      <c r="G728" s="20"/>
      <c r="H728" s="20"/>
      <c r="I728" s="20"/>
      <c r="J728" s="50"/>
      <c r="K728" s="5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19"/>
      <c r="AI728" s="20"/>
      <c r="AJ728" s="20"/>
      <c r="AK728" s="20"/>
      <c r="AL728" s="20"/>
      <c r="AM728" s="24"/>
      <c r="AN728" s="59"/>
      <c r="AO728" s="12"/>
      <c r="AP728" s="60"/>
    </row>
    <row r="729" spans="1:42" ht="15.6" x14ac:dyDescent="0.3">
      <c r="A729" s="23"/>
      <c r="B729" s="20"/>
      <c r="C729" s="20"/>
      <c r="D729" s="20"/>
      <c r="E729" s="20"/>
      <c r="F729" s="66"/>
      <c r="G729" s="20"/>
      <c r="H729" s="20"/>
      <c r="I729" s="20"/>
      <c r="J729" s="50"/>
      <c r="K729" s="5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19"/>
      <c r="AI729" s="20"/>
      <c r="AJ729" s="20"/>
      <c r="AK729" s="20"/>
      <c r="AL729" s="20"/>
      <c r="AM729" s="24"/>
      <c r="AN729" s="59"/>
      <c r="AO729" s="12"/>
      <c r="AP729" s="60"/>
    </row>
    <row r="730" spans="1:42" ht="15.6" x14ac:dyDescent="0.3">
      <c r="A730" s="23"/>
      <c r="B730" s="20"/>
      <c r="C730" s="20"/>
      <c r="D730" s="20"/>
      <c r="E730" s="20"/>
      <c r="F730" s="66"/>
      <c r="G730" s="20"/>
      <c r="H730" s="20"/>
      <c r="I730" s="20"/>
      <c r="J730" s="50"/>
      <c r="K730" s="5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19"/>
      <c r="AI730" s="20"/>
      <c r="AJ730" s="20"/>
      <c r="AK730" s="20"/>
      <c r="AL730" s="20"/>
      <c r="AM730" s="24"/>
      <c r="AN730" s="59"/>
      <c r="AO730" s="12"/>
      <c r="AP730" s="60"/>
    </row>
    <row r="731" spans="1:42" ht="15.6" x14ac:dyDescent="0.3">
      <c r="A731" s="23"/>
      <c r="B731" s="20"/>
      <c r="C731" s="20"/>
      <c r="D731" s="20"/>
      <c r="E731" s="20"/>
      <c r="F731" s="66"/>
      <c r="G731" s="20"/>
      <c r="H731" s="20"/>
      <c r="I731" s="20"/>
      <c r="J731" s="50"/>
      <c r="K731" s="5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19"/>
      <c r="AI731" s="20"/>
      <c r="AJ731" s="20"/>
      <c r="AK731" s="20"/>
      <c r="AL731" s="20"/>
      <c r="AM731" s="24"/>
      <c r="AN731" s="59"/>
      <c r="AO731" s="12"/>
      <c r="AP731" s="60"/>
    </row>
    <row r="732" spans="1:42" ht="15.6" x14ac:dyDescent="0.3">
      <c r="A732" s="23"/>
      <c r="B732" s="20"/>
      <c r="C732" s="20"/>
      <c r="D732" s="20"/>
      <c r="E732" s="20"/>
      <c r="F732" s="66"/>
      <c r="G732" s="20"/>
      <c r="H732" s="20"/>
      <c r="I732" s="20"/>
      <c r="J732" s="50"/>
      <c r="K732" s="5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19"/>
      <c r="AI732" s="20"/>
      <c r="AJ732" s="20"/>
      <c r="AK732" s="20"/>
      <c r="AL732" s="20"/>
      <c r="AM732" s="24"/>
      <c r="AN732" s="59"/>
      <c r="AO732" s="12"/>
      <c r="AP732" s="60"/>
    </row>
    <row r="733" spans="1:42" ht="15.6" x14ac:dyDescent="0.3">
      <c r="A733" s="23"/>
      <c r="B733" s="20"/>
      <c r="C733" s="20"/>
      <c r="D733" s="20"/>
      <c r="E733" s="20"/>
      <c r="F733" s="66"/>
      <c r="G733" s="20"/>
      <c r="H733" s="20"/>
      <c r="I733" s="20"/>
      <c r="J733" s="50"/>
      <c r="K733" s="5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19"/>
      <c r="AI733" s="20"/>
      <c r="AJ733" s="20"/>
      <c r="AK733" s="20"/>
      <c r="AL733" s="20"/>
      <c r="AM733" s="24"/>
      <c r="AN733" s="59"/>
      <c r="AO733" s="12"/>
      <c r="AP733" s="60"/>
    </row>
    <row r="734" spans="1:42" ht="15.6" x14ac:dyDescent="0.3">
      <c r="A734" s="23"/>
      <c r="B734" s="20"/>
      <c r="C734" s="20"/>
      <c r="D734" s="20"/>
      <c r="E734" s="20"/>
      <c r="F734" s="66"/>
      <c r="G734" s="20"/>
      <c r="H734" s="20"/>
      <c r="I734" s="20"/>
      <c r="J734" s="50"/>
      <c r="K734" s="5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19"/>
      <c r="AI734" s="20"/>
      <c r="AJ734" s="20"/>
      <c r="AK734" s="20"/>
      <c r="AL734" s="20"/>
      <c r="AM734" s="24"/>
      <c r="AN734" s="59"/>
      <c r="AO734" s="12"/>
      <c r="AP734" s="60"/>
    </row>
    <row r="735" spans="1:42" ht="15.6" x14ac:dyDescent="0.3">
      <c r="A735" s="23"/>
      <c r="B735" s="20"/>
      <c r="C735" s="20"/>
      <c r="D735" s="20"/>
      <c r="E735" s="20"/>
      <c r="F735" s="66"/>
      <c r="G735" s="20"/>
      <c r="H735" s="20"/>
      <c r="I735" s="20"/>
      <c r="J735" s="50"/>
      <c r="K735" s="5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19"/>
      <c r="AI735" s="20"/>
      <c r="AJ735" s="20"/>
      <c r="AK735" s="20"/>
      <c r="AL735" s="20"/>
      <c r="AM735" s="24"/>
      <c r="AN735" s="59"/>
      <c r="AO735" s="12"/>
      <c r="AP735" s="60"/>
    </row>
    <row r="736" spans="1:42" ht="15.6" x14ac:dyDescent="0.3">
      <c r="A736" s="23"/>
      <c r="B736" s="20"/>
      <c r="C736" s="20"/>
      <c r="D736" s="20"/>
      <c r="E736" s="20"/>
      <c r="F736" s="66"/>
      <c r="G736" s="20"/>
      <c r="H736" s="20"/>
      <c r="I736" s="20"/>
      <c r="J736" s="50"/>
      <c r="K736" s="5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19"/>
      <c r="AI736" s="20"/>
      <c r="AJ736" s="20"/>
      <c r="AK736" s="20"/>
      <c r="AL736" s="20"/>
      <c r="AM736" s="24"/>
      <c r="AN736" s="59"/>
      <c r="AO736" s="12"/>
      <c r="AP736" s="60"/>
    </row>
    <row r="737" spans="1:42" ht="15.6" x14ac:dyDescent="0.3">
      <c r="A737" s="23"/>
      <c r="B737" s="20"/>
      <c r="C737" s="20"/>
      <c r="D737" s="20"/>
      <c r="E737" s="20"/>
      <c r="F737" s="66"/>
      <c r="G737" s="20"/>
      <c r="H737" s="20"/>
      <c r="I737" s="20"/>
      <c r="J737" s="50"/>
      <c r="K737" s="5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19"/>
      <c r="AI737" s="20"/>
      <c r="AJ737" s="20"/>
      <c r="AK737" s="20"/>
      <c r="AL737" s="20"/>
      <c r="AM737" s="24"/>
      <c r="AN737" s="59"/>
      <c r="AO737" s="12"/>
      <c r="AP737" s="60"/>
    </row>
    <row r="738" spans="1:42" ht="15.6" x14ac:dyDescent="0.3">
      <c r="A738" s="23"/>
      <c r="B738" s="20"/>
      <c r="C738" s="20"/>
      <c r="D738" s="20"/>
      <c r="E738" s="20"/>
      <c r="F738" s="66"/>
      <c r="G738" s="20"/>
      <c r="H738" s="20"/>
      <c r="I738" s="20"/>
      <c r="J738" s="50"/>
      <c r="K738" s="5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19"/>
      <c r="AI738" s="20"/>
      <c r="AJ738" s="20"/>
      <c r="AK738" s="20"/>
      <c r="AL738" s="20"/>
      <c r="AM738" s="24"/>
      <c r="AN738" s="59"/>
      <c r="AO738" s="12"/>
      <c r="AP738" s="60"/>
    </row>
    <row r="739" spans="1:42" ht="15.6" x14ac:dyDescent="0.3">
      <c r="A739" s="23"/>
      <c r="B739" s="20"/>
      <c r="C739" s="20"/>
      <c r="D739" s="20"/>
      <c r="E739" s="20"/>
      <c r="F739" s="66"/>
      <c r="G739" s="20"/>
      <c r="H739" s="20"/>
      <c r="I739" s="20"/>
      <c r="J739" s="50"/>
      <c r="K739" s="5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19"/>
      <c r="AI739" s="20"/>
      <c r="AJ739" s="20"/>
      <c r="AK739" s="20"/>
      <c r="AL739" s="20"/>
      <c r="AM739" s="24"/>
      <c r="AN739" s="59"/>
      <c r="AO739" s="12"/>
      <c r="AP739" s="60"/>
    </row>
    <row r="740" spans="1:42" ht="15.6" x14ac:dyDescent="0.3">
      <c r="A740" s="23"/>
      <c r="B740" s="20"/>
      <c r="C740" s="20"/>
      <c r="D740" s="20"/>
      <c r="E740" s="20"/>
      <c r="F740" s="66"/>
      <c r="G740" s="20"/>
      <c r="H740" s="20"/>
      <c r="I740" s="20"/>
      <c r="J740" s="50"/>
      <c r="K740" s="5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19"/>
      <c r="AI740" s="20"/>
      <c r="AJ740" s="20"/>
      <c r="AK740" s="20"/>
      <c r="AL740" s="20"/>
      <c r="AM740" s="24"/>
      <c r="AN740" s="59"/>
      <c r="AO740" s="12"/>
      <c r="AP740" s="60"/>
    </row>
    <row r="741" spans="1:42" ht="15.6" x14ac:dyDescent="0.3">
      <c r="A741" s="23"/>
      <c r="B741" s="20"/>
      <c r="C741" s="20"/>
      <c r="D741" s="20"/>
      <c r="E741" s="20"/>
      <c r="F741" s="66"/>
      <c r="G741" s="20"/>
      <c r="H741" s="20"/>
      <c r="I741" s="20"/>
      <c r="J741" s="50"/>
      <c r="K741" s="5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19"/>
      <c r="AI741" s="20"/>
      <c r="AJ741" s="20"/>
      <c r="AK741" s="20"/>
      <c r="AL741" s="20"/>
      <c r="AM741" s="24"/>
      <c r="AN741" s="59"/>
      <c r="AO741" s="12"/>
      <c r="AP741" s="60"/>
    </row>
    <row r="742" spans="1:42" ht="15.6" x14ac:dyDescent="0.3">
      <c r="A742" s="23"/>
      <c r="B742" s="20"/>
      <c r="C742" s="20"/>
      <c r="D742" s="20"/>
      <c r="E742" s="20"/>
      <c r="F742" s="66"/>
      <c r="G742" s="20"/>
      <c r="H742" s="20"/>
      <c r="I742" s="20"/>
      <c r="J742" s="50"/>
      <c r="K742" s="5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19"/>
      <c r="AI742" s="20"/>
      <c r="AJ742" s="20"/>
      <c r="AK742" s="20"/>
      <c r="AL742" s="20"/>
      <c r="AM742" s="24"/>
      <c r="AN742" s="59"/>
      <c r="AO742" s="12"/>
      <c r="AP742" s="60"/>
    </row>
    <row r="743" spans="1:42" ht="15.6" x14ac:dyDescent="0.3">
      <c r="A743" s="23"/>
      <c r="B743" s="20"/>
      <c r="C743" s="20"/>
      <c r="D743" s="20"/>
      <c r="E743" s="20"/>
      <c r="F743" s="66"/>
      <c r="G743" s="20"/>
      <c r="H743" s="20"/>
      <c r="I743" s="20"/>
      <c r="J743" s="50"/>
      <c r="K743" s="5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19"/>
      <c r="AI743" s="20"/>
      <c r="AJ743" s="20"/>
      <c r="AK743" s="20"/>
      <c r="AL743" s="20"/>
      <c r="AM743" s="24"/>
      <c r="AN743" s="59"/>
      <c r="AO743" s="12"/>
      <c r="AP743" s="60"/>
    </row>
    <row r="744" spans="1:42" ht="15.6" x14ac:dyDescent="0.3">
      <c r="A744" s="23"/>
      <c r="B744" s="20"/>
      <c r="C744" s="20"/>
      <c r="D744" s="20"/>
      <c r="E744" s="20"/>
      <c r="F744" s="66"/>
      <c r="G744" s="20"/>
      <c r="H744" s="20"/>
      <c r="I744" s="20"/>
      <c r="J744" s="50"/>
      <c r="K744" s="5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19"/>
      <c r="AI744" s="20"/>
      <c r="AJ744" s="20"/>
      <c r="AK744" s="20"/>
      <c r="AL744" s="20"/>
      <c r="AM744" s="24"/>
      <c r="AN744" s="59"/>
      <c r="AO744" s="12"/>
      <c r="AP744" s="60"/>
    </row>
    <row r="745" spans="1:42" ht="15.6" x14ac:dyDescent="0.3">
      <c r="A745" s="23"/>
      <c r="B745" s="20"/>
      <c r="C745" s="20"/>
      <c r="D745" s="20"/>
      <c r="E745" s="20"/>
      <c r="F745" s="66"/>
      <c r="G745" s="20"/>
      <c r="H745" s="20"/>
      <c r="I745" s="20"/>
      <c r="J745" s="50"/>
      <c r="K745" s="5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19"/>
      <c r="AI745" s="20"/>
      <c r="AJ745" s="20"/>
      <c r="AK745" s="20"/>
      <c r="AL745" s="20"/>
      <c r="AM745" s="24"/>
      <c r="AN745" s="59"/>
      <c r="AO745" s="12"/>
      <c r="AP745" s="60"/>
    </row>
    <row r="746" spans="1:42" ht="15.6" x14ac:dyDescent="0.3">
      <c r="A746" s="23"/>
      <c r="B746" s="20"/>
      <c r="C746" s="20"/>
      <c r="D746" s="20"/>
      <c r="E746" s="20"/>
      <c r="F746" s="66"/>
      <c r="G746" s="20"/>
      <c r="H746" s="20"/>
      <c r="I746" s="20"/>
      <c r="J746" s="50"/>
      <c r="K746" s="5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19"/>
      <c r="AI746" s="20"/>
      <c r="AJ746" s="20"/>
      <c r="AK746" s="20"/>
      <c r="AL746" s="20"/>
      <c r="AM746" s="24"/>
      <c r="AN746" s="59"/>
      <c r="AO746" s="12"/>
      <c r="AP746" s="60"/>
    </row>
    <row r="747" spans="1:42" ht="15.6" x14ac:dyDescent="0.3">
      <c r="A747" s="23"/>
      <c r="B747" s="20"/>
      <c r="C747" s="20"/>
      <c r="D747" s="20"/>
      <c r="E747" s="20"/>
      <c r="F747" s="66"/>
      <c r="G747" s="20"/>
      <c r="H747" s="20"/>
      <c r="I747" s="20"/>
      <c r="J747" s="50"/>
      <c r="K747" s="5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19"/>
      <c r="AI747" s="20"/>
      <c r="AJ747" s="20"/>
      <c r="AK747" s="20"/>
      <c r="AL747" s="20"/>
      <c r="AM747" s="24"/>
      <c r="AN747" s="59"/>
      <c r="AO747" s="12"/>
      <c r="AP747" s="60"/>
    </row>
    <row r="748" spans="1:42" ht="15.6" x14ac:dyDescent="0.3">
      <c r="A748" s="23"/>
      <c r="B748" s="20"/>
      <c r="C748" s="20"/>
      <c r="D748" s="20"/>
      <c r="E748" s="20"/>
      <c r="F748" s="66"/>
      <c r="G748" s="20"/>
      <c r="H748" s="20"/>
      <c r="I748" s="20"/>
      <c r="J748" s="50"/>
      <c r="K748" s="5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19"/>
      <c r="AI748" s="20"/>
      <c r="AJ748" s="20"/>
      <c r="AK748" s="20"/>
      <c r="AL748" s="20"/>
      <c r="AM748" s="24"/>
      <c r="AN748" s="59"/>
      <c r="AO748" s="12"/>
      <c r="AP748" s="60"/>
    </row>
    <row r="749" spans="1:42" ht="15.6" x14ac:dyDescent="0.3">
      <c r="A749" s="23"/>
      <c r="B749" s="20"/>
      <c r="C749" s="20"/>
      <c r="D749" s="20"/>
      <c r="E749" s="20"/>
      <c r="F749" s="66"/>
      <c r="G749" s="20"/>
      <c r="H749" s="20"/>
      <c r="I749" s="20"/>
      <c r="J749" s="50"/>
      <c r="K749" s="5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19"/>
      <c r="AI749" s="20"/>
      <c r="AJ749" s="20"/>
      <c r="AK749" s="20"/>
      <c r="AL749" s="20"/>
      <c r="AM749" s="24"/>
      <c r="AN749" s="59"/>
      <c r="AO749" s="12"/>
      <c r="AP749" s="60"/>
    </row>
    <row r="750" spans="1:42" ht="15.6" x14ac:dyDescent="0.3">
      <c r="A750" s="23"/>
      <c r="B750" s="20"/>
      <c r="C750" s="20"/>
      <c r="D750" s="20"/>
      <c r="E750" s="20"/>
      <c r="F750" s="66"/>
      <c r="G750" s="20"/>
      <c r="H750" s="20"/>
      <c r="I750" s="20"/>
      <c r="J750" s="50"/>
      <c r="K750" s="5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19"/>
      <c r="AI750" s="20"/>
      <c r="AJ750" s="20"/>
      <c r="AK750" s="20"/>
      <c r="AL750" s="20"/>
      <c r="AM750" s="24"/>
      <c r="AN750" s="59"/>
      <c r="AO750" s="12"/>
      <c r="AP750" s="60"/>
    </row>
    <row r="751" spans="1:42" ht="15.6" x14ac:dyDescent="0.3">
      <c r="A751" s="23"/>
      <c r="B751" s="20"/>
      <c r="C751" s="20"/>
      <c r="D751" s="20"/>
      <c r="E751" s="20"/>
      <c r="F751" s="66"/>
      <c r="G751" s="20"/>
      <c r="H751" s="20"/>
      <c r="I751" s="20"/>
      <c r="J751" s="50"/>
      <c r="K751" s="5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19"/>
      <c r="AI751" s="20"/>
      <c r="AJ751" s="20"/>
      <c r="AK751" s="20"/>
      <c r="AL751" s="20"/>
      <c r="AM751" s="24"/>
      <c r="AN751" s="59"/>
      <c r="AO751" s="12"/>
      <c r="AP751" s="60"/>
    </row>
    <row r="752" spans="1:42" ht="15.6" x14ac:dyDescent="0.3">
      <c r="A752" s="23"/>
      <c r="B752" s="20"/>
      <c r="C752" s="20"/>
      <c r="D752" s="20"/>
      <c r="E752" s="20"/>
      <c r="F752" s="66"/>
      <c r="G752" s="20"/>
      <c r="H752" s="20"/>
      <c r="I752" s="20"/>
      <c r="J752" s="50"/>
      <c r="K752" s="5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19"/>
      <c r="AI752" s="20"/>
      <c r="AJ752" s="20"/>
      <c r="AK752" s="20"/>
      <c r="AL752" s="20"/>
      <c r="AM752" s="24"/>
      <c r="AN752" s="59"/>
      <c r="AO752" s="12"/>
      <c r="AP752" s="60"/>
    </row>
    <row r="753" spans="1:42" ht="15.6" x14ac:dyDescent="0.3">
      <c r="A753" s="23"/>
      <c r="B753" s="20"/>
      <c r="C753" s="20"/>
      <c r="D753" s="20"/>
      <c r="E753" s="20"/>
      <c r="F753" s="66"/>
      <c r="G753" s="20"/>
      <c r="H753" s="20"/>
      <c r="I753" s="20"/>
      <c r="J753" s="50"/>
      <c r="K753" s="5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19"/>
      <c r="AI753" s="20"/>
      <c r="AJ753" s="20"/>
      <c r="AK753" s="20"/>
      <c r="AL753" s="20"/>
      <c r="AM753" s="24"/>
      <c r="AN753" s="59"/>
      <c r="AO753" s="12"/>
      <c r="AP753" s="60"/>
    </row>
    <row r="754" spans="1:42" ht="15.6" x14ac:dyDescent="0.3">
      <c r="A754" s="23"/>
      <c r="B754" s="20"/>
      <c r="C754" s="20"/>
      <c r="D754" s="20"/>
      <c r="E754" s="20"/>
      <c r="F754" s="66"/>
      <c r="G754" s="20"/>
      <c r="H754" s="20"/>
      <c r="I754" s="20"/>
      <c r="J754" s="50"/>
      <c r="K754" s="5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19"/>
      <c r="AI754" s="20"/>
      <c r="AJ754" s="20"/>
      <c r="AK754" s="20"/>
      <c r="AL754" s="20"/>
      <c r="AM754" s="24"/>
      <c r="AN754" s="59"/>
      <c r="AO754" s="12"/>
      <c r="AP754" s="60"/>
    </row>
    <row r="755" spans="1:42" ht="15.6" x14ac:dyDescent="0.3">
      <c r="A755" s="23"/>
      <c r="B755" s="20"/>
      <c r="C755" s="20"/>
      <c r="D755" s="20"/>
      <c r="E755" s="20"/>
      <c r="F755" s="66"/>
      <c r="G755" s="20"/>
      <c r="H755" s="20"/>
      <c r="I755" s="20"/>
      <c r="J755" s="50"/>
      <c r="K755" s="5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19"/>
      <c r="AI755" s="20"/>
      <c r="AJ755" s="20"/>
      <c r="AK755" s="20"/>
      <c r="AL755" s="20"/>
      <c r="AM755" s="24"/>
      <c r="AN755" s="59"/>
      <c r="AO755" s="12"/>
      <c r="AP755" s="60"/>
    </row>
    <row r="756" spans="1:42" ht="15.6" x14ac:dyDescent="0.3">
      <c r="A756" s="23"/>
      <c r="B756" s="20"/>
      <c r="C756" s="20"/>
      <c r="D756" s="20"/>
      <c r="E756" s="20"/>
      <c r="F756" s="66"/>
      <c r="G756" s="20"/>
      <c r="H756" s="20"/>
      <c r="I756" s="20"/>
      <c r="J756" s="50"/>
      <c r="K756" s="5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19"/>
      <c r="AI756" s="20"/>
      <c r="AJ756" s="20"/>
      <c r="AK756" s="20"/>
      <c r="AL756" s="20"/>
      <c r="AM756" s="24"/>
      <c r="AN756" s="59"/>
      <c r="AO756" s="12"/>
      <c r="AP756" s="60"/>
    </row>
    <row r="757" spans="1:42" ht="15.6" x14ac:dyDescent="0.3">
      <c r="A757" s="4"/>
      <c r="B757" s="21"/>
      <c r="C757" s="21"/>
      <c r="D757" s="21"/>
      <c r="E757" s="21"/>
      <c r="F757" s="67"/>
      <c r="G757" s="21"/>
      <c r="H757" s="21"/>
      <c r="I757" s="21"/>
      <c r="J757" s="51"/>
      <c r="K757" s="5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2"/>
      <c r="AI757" s="21"/>
      <c r="AJ757" s="21"/>
      <c r="AK757" s="21"/>
      <c r="AL757" s="21"/>
      <c r="AM757" s="9"/>
      <c r="AN757" s="59"/>
      <c r="AO757" s="12"/>
      <c r="AP757" s="60"/>
    </row>
    <row r="758" spans="1:42" ht="15.6" x14ac:dyDescent="0.3">
      <c r="A758" s="4"/>
      <c r="B758" s="21"/>
      <c r="C758" s="21"/>
      <c r="D758" s="21"/>
      <c r="E758" s="21"/>
      <c r="F758" s="67"/>
      <c r="G758" s="21"/>
      <c r="H758" s="21"/>
      <c r="I758" s="21"/>
      <c r="J758" s="51"/>
      <c r="K758" s="5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2"/>
      <c r="AI758" s="21"/>
      <c r="AJ758" s="21"/>
      <c r="AK758" s="21"/>
      <c r="AL758" s="21"/>
      <c r="AM758" s="9"/>
      <c r="AN758" s="59"/>
      <c r="AO758" s="12"/>
      <c r="AP758" s="60"/>
    </row>
    <row r="759" spans="1:42" ht="15.6" x14ac:dyDescent="0.3">
      <c r="A759" s="23"/>
      <c r="B759" s="20"/>
      <c r="C759" s="20"/>
      <c r="D759" s="20"/>
      <c r="E759" s="20"/>
      <c r="F759" s="66"/>
      <c r="G759" s="20"/>
      <c r="H759" s="20"/>
      <c r="I759" s="20"/>
      <c r="J759" s="50"/>
      <c r="K759" s="5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19"/>
      <c r="AI759" s="20"/>
      <c r="AJ759" s="20"/>
      <c r="AK759" s="20"/>
      <c r="AL759" s="20"/>
      <c r="AM759" s="24"/>
      <c r="AN759" s="59"/>
      <c r="AO759" s="12"/>
      <c r="AP759" s="60"/>
    </row>
    <row r="760" spans="1:42" ht="15.6" x14ac:dyDescent="0.3">
      <c r="A760" s="4"/>
      <c r="B760" s="21"/>
      <c r="C760" s="21"/>
      <c r="D760" s="21"/>
      <c r="E760" s="21"/>
      <c r="F760" s="67"/>
      <c r="G760" s="21"/>
      <c r="H760" s="21"/>
      <c r="I760" s="21"/>
      <c r="J760" s="51"/>
      <c r="K760" s="5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2"/>
      <c r="AI760" s="21"/>
      <c r="AJ760" s="21"/>
      <c r="AK760" s="21"/>
      <c r="AL760" s="21"/>
      <c r="AM760" s="9"/>
      <c r="AN760" s="59"/>
      <c r="AO760" s="12"/>
      <c r="AP760" s="60"/>
    </row>
    <row r="761" spans="1:42" ht="15.6" x14ac:dyDescent="0.3">
      <c r="A761" s="23"/>
      <c r="B761" s="20"/>
      <c r="C761" s="20"/>
      <c r="D761" s="20"/>
      <c r="E761" s="20"/>
      <c r="F761" s="66"/>
      <c r="G761" s="20"/>
      <c r="H761" s="20"/>
      <c r="I761" s="20"/>
      <c r="J761" s="50"/>
      <c r="K761" s="5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19"/>
      <c r="AI761" s="20"/>
      <c r="AJ761" s="20"/>
      <c r="AK761" s="20"/>
      <c r="AL761" s="20"/>
      <c r="AM761" s="24"/>
      <c r="AN761" s="59"/>
      <c r="AO761" s="12"/>
      <c r="AP761" s="60"/>
    </row>
    <row r="762" spans="1:42" ht="15.6" x14ac:dyDescent="0.3">
      <c r="A762" s="23"/>
      <c r="B762" s="20"/>
      <c r="C762" s="20"/>
      <c r="D762" s="20"/>
      <c r="E762" s="20"/>
      <c r="F762" s="66"/>
      <c r="G762" s="20"/>
      <c r="H762" s="20"/>
      <c r="I762" s="20"/>
      <c r="J762" s="50"/>
      <c r="K762" s="5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19"/>
      <c r="AI762" s="20"/>
      <c r="AJ762" s="20"/>
      <c r="AK762" s="20"/>
      <c r="AL762" s="20"/>
      <c r="AM762" s="24"/>
      <c r="AN762" s="59"/>
      <c r="AO762" s="12"/>
      <c r="AP762" s="60"/>
    </row>
    <row r="763" spans="1:42" ht="15.6" x14ac:dyDescent="0.3">
      <c r="A763" s="23"/>
      <c r="B763" s="20"/>
      <c r="C763" s="20"/>
      <c r="D763" s="20"/>
      <c r="E763" s="20"/>
      <c r="F763" s="66"/>
      <c r="G763" s="20"/>
      <c r="H763" s="20"/>
      <c r="I763" s="20"/>
      <c r="J763" s="50"/>
      <c r="K763" s="5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19"/>
      <c r="AI763" s="20"/>
      <c r="AJ763" s="20"/>
      <c r="AK763" s="20"/>
      <c r="AL763" s="20"/>
      <c r="AM763" s="24"/>
      <c r="AN763" s="59"/>
      <c r="AO763" s="12"/>
      <c r="AP763" s="60"/>
    </row>
    <row r="764" spans="1:42" ht="15.6" x14ac:dyDescent="0.3">
      <c r="A764" s="23"/>
      <c r="B764" s="20"/>
      <c r="C764" s="20"/>
      <c r="D764" s="20"/>
      <c r="E764" s="20"/>
      <c r="F764" s="66"/>
      <c r="G764" s="20"/>
      <c r="H764" s="20"/>
      <c r="I764" s="20"/>
      <c r="J764" s="50"/>
      <c r="K764" s="5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19"/>
      <c r="AI764" s="20"/>
      <c r="AJ764" s="20"/>
      <c r="AK764" s="20"/>
      <c r="AL764" s="20"/>
      <c r="AM764" s="24"/>
      <c r="AN764" s="59"/>
      <c r="AO764" s="12"/>
      <c r="AP764" s="60"/>
    </row>
    <row r="765" spans="1:42" ht="15.6" x14ac:dyDescent="0.3">
      <c r="A765" s="23"/>
      <c r="B765" s="20"/>
      <c r="C765" s="20"/>
      <c r="D765" s="20"/>
      <c r="E765" s="20"/>
      <c r="F765" s="66"/>
      <c r="G765" s="20"/>
      <c r="H765" s="20"/>
      <c r="I765" s="20"/>
      <c r="J765" s="50"/>
      <c r="K765" s="5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19"/>
      <c r="AI765" s="20"/>
      <c r="AJ765" s="20"/>
      <c r="AK765" s="20"/>
      <c r="AL765" s="20"/>
      <c r="AM765" s="24"/>
      <c r="AN765" s="59"/>
      <c r="AO765" s="12"/>
      <c r="AP765" s="60"/>
    </row>
    <row r="766" spans="1:42" ht="15.6" x14ac:dyDescent="0.3">
      <c r="A766" s="23"/>
      <c r="B766" s="20"/>
      <c r="C766" s="20"/>
      <c r="D766" s="20"/>
      <c r="E766" s="20"/>
      <c r="F766" s="66"/>
      <c r="G766" s="20"/>
      <c r="H766" s="20"/>
      <c r="I766" s="20"/>
      <c r="J766" s="50"/>
      <c r="K766" s="5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19"/>
      <c r="AI766" s="20"/>
      <c r="AJ766" s="20"/>
      <c r="AK766" s="20"/>
      <c r="AL766" s="20"/>
      <c r="AM766" s="24"/>
      <c r="AN766" s="59"/>
      <c r="AO766" s="12"/>
      <c r="AP766" s="60"/>
    </row>
    <row r="767" spans="1:42" ht="15.6" x14ac:dyDescent="0.3">
      <c r="A767" s="23"/>
      <c r="B767" s="20"/>
      <c r="C767" s="20"/>
      <c r="D767" s="20"/>
      <c r="E767" s="20"/>
      <c r="F767" s="66"/>
      <c r="G767" s="20"/>
      <c r="H767" s="20"/>
      <c r="I767" s="20"/>
      <c r="J767" s="50"/>
      <c r="K767" s="5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19"/>
      <c r="AI767" s="20"/>
      <c r="AJ767" s="20"/>
      <c r="AK767" s="20"/>
      <c r="AL767" s="20"/>
      <c r="AM767" s="24"/>
      <c r="AN767" s="59"/>
      <c r="AO767" s="12"/>
      <c r="AP767" s="60"/>
    </row>
    <row r="768" spans="1:42" ht="15.6" x14ac:dyDescent="0.3">
      <c r="A768" s="23"/>
      <c r="B768" s="20"/>
      <c r="C768" s="20"/>
      <c r="D768" s="20"/>
      <c r="E768" s="20"/>
      <c r="F768" s="66"/>
      <c r="G768" s="20"/>
      <c r="H768" s="20"/>
      <c r="I768" s="20"/>
      <c r="J768" s="50"/>
      <c r="K768" s="5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19"/>
      <c r="AI768" s="20"/>
      <c r="AJ768" s="20"/>
      <c r="AK768" s="20"/>
      <c r="AL768" s="20"/>
      <c r="AM768" s="24"/>
      <c r="AN768" s="59"/>
      <c r="AO768" s="12"/>
      <c r="AP768" s="60"/>
    </row>
    <row r="769" spans="1:42" ht="15.6" x14ac:dyDescent="0.3">
      <c r="A769" s="23"/>
      <c r="B769" s="20"/>
      <c r="C769" s="20"/>
      <c r="D769" s="20"/>
      <c r="E769" s="20"/>
      <c r="F769" s="66"/>
      <c r="G769" s="20"/>
      <c r="H769" s="20"/>
      <c r="I769" s="20"/>
      <c r="J769" s="50"/>
      <c r="K769" s="5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19"/>
      <c r="AI769" s="20"/>
      <c r="AJ769" s="20"/>
      <c r="AK769" s="20"/>
      <c r="AL769" s="20"/>
      <c r="AM769" s="24"/>
      <c r="AN769" s="59"/>
      <c r="AO769" s="12"/>
      <c r="AP769" s="60"/>
    </row>
    <row r="770" spans="1:42" ht="15.6" x14ac:dyDescent="0.3">
      <c r="A770" s="23"/>
      <c r="B770" s="20"/>
      <c r="C770" s="20"/>
      <c r="D770" s="20"/>
      <c r="E770" s="20"/>
      <c r="F770" s="66"/>
      <c r="G770" s="20"/>
      <c r="H770" s="20"/>
      <c r="I770" s="20"/>
      <c r="J770" s="50"/>
      <c r="K770" s="5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19"/>
      <c r="AI770" s="20"/>
      <c r="AJ770" s="20"/>
      <c r="AK770" s="20"/>
      <c r="AL770" s="20"/>
      <c r="AM770" s="24"/>
      <c r="AN770" s="59"/>
      <c r="AO770" s="12"/>
      <c r="AP770" s="60"/>
    </row>
    <row r="771" spans="1:42" ht="15.6" x14ac:dyDescent="0.3">
      <c r="A771" s="23"/>
      <c r="B771" s="20"/>
      <c r="C771" s="20"/>
      <c r="D771" s="20"/>
      <c r="E771" s="20"/>
      <c r="F771" s="66"/>
      <c r="G771" s="20"/>
      <c r="H771" s="20"/>
      <c r="I771" s="20"/>
      <c r="J771" s="50"/>
      <c r="K771" s="5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19"/>
      <c r="AI771" s="20"/>
      <c r="AJ771" s="20"/>
      <c r="AK771" s="20"/>
      <c r="AL771" s="20"/>
      <c r="AM771" s="24"/>
      <c r="AN771" s="59"/>
      <c r="AO771" s="12"/>
      <c r="AP771" s="60"/>
    </row>
    <row r="772" spans="1:42" ht="15.6" x14ac:dyDescent="0.3">
      <c r="A772" s="23"/>
      <c r="B772" s="20"/>
      <c r="C772" s="20"/>
      <c r="D772" s="20"/>
      <c r="E772" s="20"/>
      <c r="F772" s="66"/>
      <c r="G772" s="20"/>
      <c r="H772" s="20"/>
      <c r="I772" s="20"/>
      <c r="J772" s="50"/>
      <c r="K772" s="5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19"/>
      <c r="AI772" s="20"/>
      <c r="AJ772" s="20"/>
      <c r="AK772" s="20"/>
      <c r="AL772" s="20"/>
      <c r="AM772" s="24"/>
      <c r="AN772" s="59"/>
      <c r="AO772" s="12"/>
      <c r="AP772" s="60"/>
    </row>
    <row r="773" spans="1:42" ht="15.6" x14ac:dyDescent="0.3">
      <c r="A773" s="23"/>
      <c r="B773" s="20"/>
      <c r="C773" s="20"/>
      <c r="D773" s="20"/>
      <c r="E773" s="20"/>
      <c r="F773" s="66"/>
      <c r="G773" s="20"/>
      <c r="H773" s="20"/>
      <c r="I773" s="20"/>
      <c r="J773" s="50"/>
      <c r="K773" s="5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19"/>
      <c r="AI773" s="20"/>
      <c r="AJ773" s="20"/>
      <c r="AK773" s="20"/>
      <c r="AL773" s="20"/>
      <c r="AM773" s="24"/>
      <c r="AN773" s="59"/>
      <c r="AO773" s="12"/>
      <c r="AP773" s="60"/>
    </row>
    <row r="774" spans="1:42" ht="15.6" x14ac:dyDescent="0.3">
      <c r="A774" s="23"/>
      <c r="B774" s="20"/>
      <c r="C774" s="20"/>
      <c r="D774" s="20"/>
      <c r="E774" s="20"/>
      <c r="F774" s="66"/>
      <c r="G774" s="20"/>
      <c r="H774" s="20"/>
      <c r="I774" s="20"/>
      <c r="J774" s="50"/>
      <c r="K774" s="5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19"/>
      <c r="AI774" s="20"/>
      <c r="AJ774" s="20"/>
      <c r="AK774" s="20"/>
      <c r="AL774" s="20"/>
      <c r="AM774" s="24"/>
      <c r="AN774" s="59"/>
      <c r="AO774" s="12"/>
      <c r="AP774" s="60"/>
    </row>
    <row r="775" spans="1:42" ht="15.6" x14ac:dyDescent="0.3">
      <c r="A775" s="23"/>
      <c r="B775" s="20"/>
      <c r="C775" s="20"/>
      <c r="D775" s="20"/>
      <c r="E775" s="20"/>
      <c r="F775" s="66"/>
      <c r="G775" s="20"/>
      <c r="H775" s="20"/>
      <c r="I775" s="20"/>
      <c r="J775" s="50"/>
      <c r="K775" s="5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19"/>
      <c r="AI775" s="20"/>
      <c r="AJ775" s="20"/>
      <c r="AK775" s="20"/>
      <c r="AL775" s="20"/>
      <c r="AM775" s="24"/>
      <c r="AN775" s="59"/>
      <c r="AO775" s="12"/>
      <c r="AP775" s="60"/>
    </row>
    <row r="776" spans="1:42" ht="16.2" thickBot="1" x14ac:dyDescent="0.35">
      <c r="A776" s="4"/>
      <c r="B776" s="21"/>
      <c r="C776" s="21"/>
      <c r="D776" s="21"/>
      <c r="E776" s="21"/>
      <c r="F776" s="67"/>
      <c r="G776" s="21"/>
      <c r="H776" s="21"/>
      <c r="I776" s="21"/>
      <c r="J776" s="51"/>
      <c r="K776" s="5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2"/>
      <c r="AI776" s="21"/>
      <c r="AJ776" s="21"/>
      <c r="AK776" s="21"/>
      <c r="AL776" s="21"/>
      <c r="AM776" s="9"/>
      <c r="AN776" s="61"/>
      <c r="AO776" s="62"/>
      <c r="AP776" s="63"/>
    </row>
  </sheetData>
  <mergeCells count="19">
    <mergeCell ref="C3:H3"/>
    <mergeCell ref="I2:O2"/>
    <mergeCell ref="I3:O3"/>
    <mergeCell ref="A1:AP1"/>
    <mergeCell ref="AN2:AP2"/>
    <mergeCell ref="AN3:AP3"/>
    <mergeCell ref="AB3:AE3"/>
    <mergeCell ref="AF2:AJ2"/>
    <mergeCell ref="AF3:AJ3"/>
    <mergeCell ref="AK2:AM2"/>
    <mergeCell ref="AK3:AM3"/>
    <mergeCell ref="P2:S2"/>
    <mergeCell ref="P3:S3"/>
    <mergeCell ref="T2:AA2"/>
    <mergeCell ref="T3:AA3"/>
    <mergeCell ref="AB2:AE2"/>
    <mergeCell ref="A2:B2"/>
    <mergeCell ref="A3:B3"/>
    <mergeCell ref="C2:H2"/>
  </mergeCells>
  <phoneticPr fontId="8" type="noConversion"/>
  <pageMargins left="0.7" right="0.7" top="0.75" bottom="0.75" header="0.3" footer="0.3"/>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33209D87-57F4-483E-95B8-4247950A3C40}">
          <x14:formula1>
            <xm:f>data_validation!$A$2:$A$11</xm:f>
          </x14:formula1>
          <xm:sqref>D7:D776</xm:sqref>
        </x14:dataValidation>
        <x14:dataValidation type="list" allowBlank="1" showInputMessage="1" showErrorMessage="1" xr:uid="{B995FE2D-332A-46F2-AF5F-23EC4F2A9F24}">
          <x14:formula1>
            <xm:f>data_validation!$C$2:$C$60</xm:f>
          </x14:formula1>
          <xm:sqref>E7:E776</xm:sqref>
        </x14:dataValidation>
        <x14:dataValidation type="list" allowBlank="1" showInputMessage="1" showErrorMessage="1" xr:uid="{2BCD74A9-B997-4B9F-873F-24E2F60502DB}">
          <x14:formula1>
            <xm:f>data_validation!$G$2:$G$10</xm:f>
          </x14:formula1>
          <xm:sqref>AF7:AF776</xm:sqref>
        </x14:dataValidation>
        <x14:dataValidation type="list" allowBlank="1" showInputMessage="1" showErrorMessage="1" xr:uid="{E6EC39F0-2E5B-43C9-A174-212F1B7091B2}">
          <x14:formula1>
            <xm:f>data_validation!$I$2:$I$10</xm:f>
          </x14:formula1>
          <xm:sqref>AL7:AL776</xm:sqref>
        </x14:dataValidation>
        <x14:dataValidation type="list" allowBlank="1" showInputMessage="1" showErrorMessage="1" xr:uid="{64D01B61-47F5-4141-A031-E6CC404DAF1D}">
          <x14:formula1>
            <xm:f>data_validation!$E$2:$E$12</xm:f>
          </x14:formula1>
          <xm:sqref>AE7:AE776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9"/>
  <sheetViews>
    <sheetView zoomScale="90" zoomScaleNormal="90" workbookViewId="0"/>
  </sheetViews>
  <sheetFormatPr defaultColWidth="11.5546875" defaultRowHeight="14.4" x14ac:dyDescent="0.3"/>
  <cols>
    <col min="1" max="1" width="13.5546875" customWidth="1"/>
    <col min="2" max="2" width="125" customWidth="1"/>
    <col min="3" max="3" width="20.88671875" customWidth="1"/>
    <col min="4" max="4" width="102.33203125" customWidth="1"/>
    <col min="5" max="5" width="22.33203125" customWidth="1"/>
    <col min="6" max="6" width="107.88671875" customWidth="1"/>
    <col min="7" max="7" width="17.6640625" customWidth="1"/>
    <col min="8" max="8" width="128.21875" customWidth="1"/>
    <col min="9" max="9" width="14.88671875" customWidth="1"/>
    <col min="10" max="10" width="88.33203125" customWidth="1"/>
  </cols>
  <sheetData>
    <row r="1" spans="1:10" ht="15" customHeight="1" x14ac:dyDescent="0.3">
      <c r="A1" s="25" t="s">
        <v>1</v>
      </c>
      <c r="B1" s="26" t="s">
        <v>1068</v>
      </c>
      <c r="C1" s="25" t="s">
        <v>600</v>
      </c>
      <c r="D1" s="43" t="s">
        <v>1068</v>
      </c>
      <c r="E1" s="45" t="s">
        <v>1272</v>
      </c>
      <c r="F1" s="43" t="s">
        <v>1068</v>
      </c>
      <c r="G1" s="25" t="s">
        <v>1063</v>
      </c>
      <c r="H1" s="26" t="s">
        <v>1068</v>
      </c>
      <c r="I1" s="41" t="s">
        <v>1222</v>
      </c>
      <c r="J1" s="42" t="s">
        <v>1068</v>
      </c>
    </row>
    <row r="2" spans="1:10" x14ac:dyDescent="0.3">
      <c r="A2" s="27" t="s">
        <v>6</v>
      </c>
      <c r="B2" s="28" t="s">
        <v>1100</v>
      </c>
      <c r="C2" s="27" t="s">
        <v>81</v>
      </c>
      <c r="D2" s="44" t="s">
        <v>1109</v>
      </c>
      <c r="E2" s="46" t="s">
        <v>1095</v>
      </c>
      <c r="F2" s="44" t="s">
        <v>1273</v>
      </c>
      <c r="G2" s="27" t="s">
        <v>1174</v>
      </c>
      <c r="H2" s="28" t="s">
        <v>1175</v>
      </c>
      <c r="I2" s="39" t="s">
        <v>1223</v>
      </c>
      <c r="J2" s="40" t="s">
        <v>1224</v>
      </c>
    </row>
    <row r="3" spans="1:10" x14ac:dyDescent="0.3">
      <c r="A3" s="29" t="s">
        <v>82</v>
      </c>
      <c r="B3" s="30" t="s">
        <v>1101</v>
      </c>
      <c r="C3" s="29" t="s">
        <v>76</v>
      </c>
      <c r="D3" s="31" t="s">
        <v>1110</v>
      </c>
      <c r="E3" s="47" t="s">
        <v>1099</v>
      </c>
      <c r="F3" s="31" t="s">
        <v>1274</v>
      </c>
      <c r="G3" s="29" t="s">
        <v>1176</v>
      </c>
      <c r="H3" s="30" t="s">
        <v>1177</v>
      </c>
      <c r="I3" s="35" t="s">
        <v>1225</v>
      </c>
      <c r="J3" s="36" t="s">
        <v>1226</v>
      </c>
    </row>
    <row r="4" spans="1:10" x14ac:dyDescent="0.3">
      <c r="A4" s="29" t="s">
        <v>94</v>
      </c>
      <c r="B4" s="30" t="s">
        <v>1102</v>
      </c>
      <c r="C4" s="29" t="s">
        <v>77</v>
      </c>
      <c r="D4" s="31" t="s">
        <v>1111</v>
      </c>
      <c r="E4" s="47" t="s">
        <v>1090</v>
      </c>
      <c r="F4" s="31" t="s">
        <v>1275</v>
      </c>
      <c r="G4" s="29" t="s">
        <v>1178</v>
      </c>
      <c r="H4" s="30" t="s">
        <v>1179</v>
      </c>
      <c r="I4" s="35" t="s">
        <v>1227</v>
      </c>
      <c r="J4" s="36" t="s">
        <v>1228</v>
      </c>
    </row>
    <row r="5" spans="1:10" x14ac:dyDescent="0.3">
      <c r="A5" s="29" t="s">
        <v>97</v>
      </c>
      <c r="B5" s="30" t="s">
        <v>1103</v>
      </c>
      <c r="C5" s="29" t="s">
        <v>605</v>
      </c>
      <c r="D5" s="31" t="s">
        <v>1112</v>
      </c>
      <c r="E5" s="47" t="s">
        <v>1092</v>
      </c>
      <c r="F5" s="31" t="s">
        <v>1276</v>
      </c>
      <c r="G5" s="29" t="s">
        <v>1180</v>
      </c>
      <c r="H5" s="30" t="s">
        <v>1181</v>
      </c>
      <c r="I5" s="35" t="s">
        <v>1229</v>
      </c>
      <c r="J5" s="36" t="s">
        <v>1230</v>
      </c>
    </row>
    <row r="6" spans="1:10" x14ac:dyDescent="0.3">
      <c r="A6" s="29" t="s">
        <v>100</v>
      </c>
      <c r="B6" s="30" t="s">
        <v>1104</v>
      </c>
      <c r="C6" s="29" t="s">
        <v>78</v>
      </c>
      <c r="D6" s="31" t="s">
        <v>1113</v>
      </c>
      <c r="E6" s="47" t="s">
        <v>1091</v>
      </c>
      <c r="F6" s="31" t="s">
        <v>1277</v>
      </c>
      <c r="G6" s="29" t="s">
        <v>1182</v>
      </c>
      <c r="H6" s="30" t="s">
        <v>1183</v>
      </c>
      <c r="I6" s="35" t="s">
        <v>1231</v>
      </c>
      <c r="J6" s="36" t="s">
        <v>1232</v>
      </c>
    </row>
    <row r="7" spans="1:10" x14ac:dyDescent="0.3">
      <c r="A7" s="29" t="s">
        <v>102</v>
      </c>
      <c r="B7" s="30" t="s">
        <v>1105</v>
      </c>
      <c r="C7" s="29" t="s">
        <v>79</v>
      </c>
      <c r="D7" s="31" t="s">
        <v>1114</v>
      </c>
      <c r="E7" s="47" t="s">
        <v>1093</v>
      </c>
      <c r="F7" s="31" t="s">
        <v>1278</v>
      </c>
      <c r="G7" s="29" t="s">
        <v>1184</v>
      </c>
      <c r="H7" s="30" t="s">
        <v>1185</v>
      </c>
      <c r="I7" s="35" t="s">
        <v>1233</v>
      </c>
      <c r="J7" s="36" t="s">
        <v>1234</v>
      </c>
    </row>
    <row r="8" spans="1:10" x14ac:dyDescent="0.3">
      <c r="A8" s="29" t="s">
        <v>106</v>
      </c>
      <c r="B8" s="30" t="s">
        <v>1106</v>
      </c>
      <c r="C8" s="29" t="s">
        <v>80</v>
      </c>
      <c r="D8" s="31" t="s">
        <v>1115</v>
      </c>
      <c r="E8" s="47" t="s">
        <v>1096</v>
      </c>
      <c r="F8" s="31" t="s">
        <v>1279</v>
      </c>
      <c r="G8" s="29" t="s">
        <v>1186</v>
      </c>
      <c r="H8" s="30" t="s">
        <v>1187</v>
      </c>
      <c r="I8" s="35" t="s">
        <v>1235</v>
      </c>
      <c r="J8" s="36" t="s">
        <v>1236</v>
      </c>
    </row>
    <row r="9" spans="1:10" ht="15" customHeight="1" x14ac:dyDescent="0.3">
      <c r="A9" s="29" t="s">
        <v>107</v>
      </c>
      <c r="B9" s="30" t="s">
        <v>1107</v>
      </c>
      <c r="C9" s="29" t="s">
        <v>83</v>
      </c>
      <c r="D9" s="31" t="s">
        <v>1116</v>
      </c>
      <c r="E9" s="47" t="s">
        <v>1097</v>
      </c>
      <c r="F9" s="31" t="s">
        <v>1280</v>
      </c>
      <c r="G9" s="32" t="s">
        <v>1188</v>
      </c>
      <c r="H9" s="34" t="s">
        <v>1189</v>
      </c>
      <c r="I9" s="37" t="s">
        <v>1237</v>
      </c>
      <c r="J9" s="38" t="s">
        <v>1238</v>
      </c>
    </row>
    <row r="10" spans="1:10" ht="15" customHeight="1" x14ac:dyDescent="0.3">
      <c r="A10" s="32" t="s">
        <v>744</v>
      </c>
      <c r="B10" s="34" t="s">
        <v>1108</v>
      </c>
      <c r="C10" s="29" t="s">
        <v>84</v>
      </c>
      <c r="D10" s="31" t="s">
        <v>1117</v>
      </c>
      <c r="E10" s="47" t="s">
        <v>1094</v>
      </c>
      <c r="F10" s="31" t="s">
        <v>1281</v>
      </c>
    </row>
    <row r="11" spans="1:10" ht="15" customHeight="1" x14ac:dyDescent="0.3">
      <c r="C11" s="29" t="s">
        <v>85</v>
      </c>
      <c r="D11" s="31" t="s">
        <v>1118</v>
      </c>
      <c r="E11" s="48" t="s">
        <v>1098</v>
      </c>
      <c r="F11" s="33" t="s">
        <v>1282</v>
      </c>
    </row>
    <row r="12" spans="1:10" x14ac:dyDescent="0.3">
      <c r="C12" s="29" t="s">
        <v>86</v>
      </c>
      <c r="D12" s="31" t="s">
        <v>1119</v>
      </c>
    </row>
    <row r="13" spans="1:10" x14ac:dyDescent="0.3">
      <c r="C13" s="29" t="s">
        <v>87</v>
      </c>
      <c r="D13" s="31" t="s">
        <v>1120</v>
      </c>
    </row>
    <row r="14" spans="1:10" x14ac:dyDescent="0.3">
      <c r="C14" s="29" t="s">
        <v>88</v>
      </c>
      <c r="D14" s="31" t="s">
        <v>1121</v>
      </c>
    </row>
    <row r="15" spans="1:10" x14ac:dyDescent="0.3">
      <c r="C15" s="29" t="s">
        <v>89</v>
      </c>
      <c r="D15" s="31" t="s">
        <v>1122</v>
      </c>
    </row>
    <row r="16" spans="1:10" x14ac:dyDescent="0.3">
      <c r="C16" s="29" t="s">
        <v>90</v>
      </c>
      <c r="D16" s="31" t="s">
        <v>1123</v>
      </c>
    </row>
    <row r="17" spans="3:4" x14ac:dyDescent="0.3">
      <c r="C17" s="29" t="s">
        <v>91</v>
      </c>
      <c r="D17" s="31" t="s">
        <v>1124</v>
      </c>
    </row>
    <row r="18" spans="3:4" x14ac:dyDescent="0.3">
      <c r="C18" s="29" t="s">
        <v>606</v>
      </c>
      <c r="D18" s="31" t="s">
        <v>1125</v>
      </c>
    </row>
    <row r="19" spans="3:4" x14ac:dyDescent="0.3">
      <c r="C19" s="29" t="s">
        <v>607</v>
      </c>
      <c r="D19" s="31" t="s">
        <v>1126</v>
      </c>
    </row>
    <row r="20" spans="3:4" x14ac:dyDescent="0.3">
      <c r="C20" s="29" t="s">
        <v>608</v>
      </c>
      <c r="D20" s="31" t="s">
        <v>1127</v>
      </c>
    </row>
    <row r="21" spans="3:4" x14ac:dyDescent="0.3">
      <c r="C21" s="29" t="s">
        <v>609</v>
      </c>
      <c r="D21" s="31" t="s">
        <v>1128</v>
      </c>
    </row>
    <row r="22" spans="3:4" x14ac:dyDescent="0.3">
      <c r="C22" s="29" t="s">
        <v>92</v>
      </c>
      <c r="D22" s="31" t="s">
        <v>1129</v>
      </c>
    </row>
    <row r="23" spans="3:4" x14ac:dyDescent="0.3">
      <c r="C23" s="29" t="s">
        <v>93</v>
      </c>
      <c r="D23" s="31" t="s">
        <v>1130</v>
      </c>
    </row>
    <row r="24" spans="3:4" x14ac:dyDescent="0.3">
      <c r="C24" s="29" t="s">
        <v>95</v>
      </c>
      <c r="D24" s="31" t="s">
        <v>1131</v>
      </c>
    </row>
    <row r="25" spans="3:4" x14ac:dyDescent="0.3">
      <c r="C25" s="29" t="s">
        <v>98</v>
      </c>
      <c r="D25" s="31" t="s">
        <v>1132</v>
      </c>
    </row>
    <row r="26" spans="3:4" x14ac:dyDescent="0.3">
      <c r="C26" s="29" t="s">
        <v>99</v>
      </c>
      <c r="D26" s="31" t="s">
        <v>1133</v>
      </c>
    </row>
    <row r="27" spans="3:4" x14ac:dyDescent="0.3">
      <c r="C27" s="29" t="s">
        <v>456</v>
      </c>
      <c r="D27" s="31" t="s">
        <v>1134</v>
      </c>
    </row>
    <row r="28" spans="3:4" x14ac:dyDescent="0.3">
      <c r="C28" s="29" t="s">
        <v>457</v>
      </c>
      <c r="D28" s="31" t="s">
        <v>1135</v>
      </c>
    </row>
    <row r="29" spans="3:4" x14ac:dyDescent="0.3">
      <c r="C29" s="29" t="s">
        <v>458</v>
      </c>
      <c r="D29" s="31" t="s">
        <v>1136</v>
      </c>
    </row>
    <row r="30" spans="3:4" x14ac:dyDescent="0.3">
      <c r="C30" s="29" t="s">
        <v>459</v>
      </c>
      <c r="D30" s="31" t="s">
        <v>1137</v>
      </c>
    </row>
    <row r="31" spans="3:4" x14ac:dyDescent="0.3">
      <c r="C31" s="29" t="s">
        <v>101</v>
      </c>
      <c r="D31" s="31" t="s">
        <v>1138</v>
      </c>
    </row>
    <row r="32" spans="3:4" x14ac:dyDescent="0.3">
      <c r="C32" s="29" t="s">
        <v>610</v>
      </c>
      <c r="D32" s="31" t="s">
        <v>1139</v>
      </c>
    </row>
    <row r="33" spans="3:4" x14ac:dyDescent="0.3">
      <c r="C33" s="29" t="s">
        <v>611</v>
      </c>
      <c r="D33" s="31" t="s">
        <v>1140</v>
      </c>
    </row>
    <row r="34" spans="3:4" x14ac:dyDescent="0.3">
      <c r="C34" s="29" t="s">
        <v>588</v>
      </c>
      <c r="D34" s="31" t="s">
        <v>1141</v>
      </c>
    </row>
    <row r="35" spans="3:4" x14ac:dyDescent="0.3">
      <c r="C35" s="29" t="s">
        <v>589</v>
      </c>
      <c r="D35" s="31" t="s">
        <v>1142</v>
      </c>
    </row>
    <row r="36" spans="3:4" x14ac:dyDescent="0.3">
      <c r="C36" s="29" t="s">
        <v>478</v>
      </c>
      <c r="D36" s="31" t="s">
        <v>1143</v>
      </c>
    </row>
    <row r="37" spans="3:4" x14ac:dyDescent="0.3">
      <c r="C37" s="29" t="s">
        <v>479</v>
      </c>
      <c r="D37" s="31" t="s">
        <v>1144</v>
      </c>
    </row>
    <row r="38" spans="3:4" x14ac:dyDescent="0.3">
      <c r="C38" s="29" t="s">
        <v>480</v>
      </c>
      <c r="D38" s="31" t="s">
        <v>1145</v>
      </c>
    </row>
    <row r="39" spans="3:4" x14ac:dyDescent="0.3">
      <c r="C39" s="29" t="s">
        <v>481</v>
      </c>
      <c r="D39" s="31" t="s">
        <v>1146</v>
      </c>
    </row>
    <row r="40" spans="3:4" x14ac:dyDescent="0.3">
      <c r="C40" s="29" t="s">
        <v>103</v>
      </c>
      <c r="D40" s="31" t="s">
        <v>1147</v>
      </c>
    </row>
    <row r="41" spans="3:4" x14ac:dyDescent="0.3">
      <c r="C41" s="29" t="s">
        <v>482</v>
      </c>
      <c r="D41" s="31" t="s">
        <v>1148</v>
      </c>
    </row>
    <row r="42" spans="3:4" x14ac:dyDescent="0.3">
      <c r="C42" s="29" t="s">
        <v>483</v>
      </c>
      <c r="D42" s="31" t="s">
        <v>1149</v>
      </c>
    </row>
    <row r="43" spans="3:4" x14ac:dyDescent="0.3">
      <c r="C43" s="29" t="s">
        <v>484</v>
      </c>
      <c r="D43" s="31" t="s">
        <v>1150</v>
      </c>
    </row>
    <row r="44" spans="3:4" x14ac:dyDescent="0.3">
      <c r="C44" s="29" t="s">
        <v>485</v>
      </c>
      <c r="D44" s="31" t="s">
        <v>1151</v>
      </c>
    </row>
    <row r="45" spans="3:4" x14ac:dyDescent="0.3">
      <c r="C45" s="29" t="s">
        <v>486</v>
      </c>
      <c r="D45" s="31" t="s">
        <v>1152</v>
      </c>
    </row>
    <row r="46" spans="3:4" x14ac:dyDescent="0.3">
      <c r="C46" s="29" t="s">
        <v>104</v>
      </c>
      <c r="D46" s="31" t="s">
        <v>1153</v>
      </c>
    </row>
    <row r="47" spans="3:4" x14ac:dyDescent="0.3">
      <c r="C47" s="29" t="s">
        <v>487</v>
      </c>
      <c r="D47" s="31" t="s">
        <v>1154</v>
      </c>
    </row>
    <row r="48" spans="3:4" x14ac:dyDescent="0.3">
      <c r="C48" s="29" t="s">
        <v>488</v>
      </c>
      <c r="D48" s="31" t="s">
        <v>1155</v>
      </c>
    </row>
    <row r="49" spans="3:4" x14ac:dyDescent="0.3">
      <c r="C49" s="29" t="s">
        <v>489</v>
      </c>
      <c r="D49" s="31" t="s">
        <v>1156</v>
      </c>
    </row>
    <row r="50" spans="3:4" x14ac:dyDescent="0.3">
      <c r="C50" s="29" t="s">
        <v>490</v>
      </c>
      <c r="D50" s="31" t="s">
        <v>1157</v>
      </c>
    </row>
    <row r="51" spans="3:4" x14ac:dyDescent="0.3">
      <c r="C51" s="29" t="s">
        <v>612</v>
      </c>
      <c r="D51" s="31" t="s">
        <v>1158</v>
      </c>
    </row>
    <row r="52" spans="3:4" x14ac:dyDescent="0.3">
      <c r="C52" s="29" t="s">
        <v>108</v>
      </c>
      <c r="D52" s="31" t="s">
        <v>1159</v>
      </c>
    </row>
    <row r="53" spans="3:4" x14ac:dyDescent="0.3">
      <c r="C53" s="29" t="s">
        <v>109</v>
      </c>
      <c r="D53" s="31" t="s">
        <v>1160</v>
      </c>
    </row>
    <row r="54" spans="3:4" x14ac:dyDescent="0.3">
      <c r="C54" s="29" t="s">
        <v>730</v>
      </c>
      <c r="D54" s="31" t="s">
        <v>1161</v>
      </c>
    </row>
    <row r="55" spans="3:4" x14ac:dyDescent="0.3">
      <c r="C55" s="29" t="s">
        <v>613</v>
      </c>
      <c r="D55" s="31" t="s">
        <v>1162</v>
      </c>
    </row>
    <row r="56" spans="3:4" x14ac:dyDescent="0.3">
      <c r="C56" s="29" t="s">
        <v>110</v>
      </c>
      <c r="D56" s="31" t="s">
        <v>1163</v>
      </c>
    </row>
    <row r="57" spans="3:4" x14ac:dyDescent="0.3">
      <c r="C57" s="29" t="s">
        <v>614</v>
      </c>
      <c r="D57" s="31" t="s">
        <v>1164</v>
      </c>
    </row>
    <row r="58" spans="3:4" x14ac:dyDescent="0.3">
      <c r="C58" s="29" t="s">
        <v>615</v>
      </c>
      <c r="D58" s="31" t="s">
        <v>1165</v>
      </c>
    </row>
    <row r="59" spans="3:4" ht="15" customHeight="1" x14ac:dyDescent="0.3">
      <c r="C59" s="32" t="s">
        <v>744</v>
      </c>
      <c r="D59" s="33" t="s">
        <v>1166</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0"/>
  <sheetViews>
    <sheetView zoomScale="80" zoomScaleNormal="80" workbookViewId="0"/>
  </sheetViews>
  <sheetFormatPr defaultColWidth="11.5546875" defaultRowHeight="14.4" x14ac:dyDescent="0.3"/>
  <cols>
    <col min="1" max="1" width="12.6640625" style="70" customWidth="1"/>
    <col min="2" max="2" width="16.109375" style="70" customWidth="1"/>
    <col min="3" max="3" width="84.88671875" style="70" customWidth="1"/>
    <col min="4" max="4" width="34.44140625" style="70" customWidth="1"/>
    <col min="5" max="5" width="68.88671875" style="70" customWidth="1"/>
    <col min="6" max="7" width="76.6640625" style="70" customWidth="1"/>
  </cols>
  <sheetData>
    <row r="1" spans="1:7" ht="18.600000000000001" customHeight="1" thickBot="1" x14ac:dyDescent="0.35">
      <c r="A1" s="76" t="s">
        <v>599</v>
      </c>
      <c r="B1" s="77" t="s">
        <v>1</v>
      </c>
      <c r="C1" s="77" t="s">
        <v>600</v>
      </c>
      <c r="D1" s="77" t="s">
        <v>601</v>
      </c>
      <c r="E1" s="77" t="s">
        <v>602</v>
      </c>
      <c r="F1" s="77" t="s">
        <v>603</v>
      </c>
      <c r="G1" s="78" t="s">
        <v>604</v>
      </c>
    </row>
    <row r="2" spans="1:7" ht="15.6" x14ac:dyDescent="0.3">
      <c r="A2" s="114" t="s">
        <v>75</v>
      </c>
      <c r="B2" s="79"/>
      <c r="C2" s="79"/>
      <c r="D2" s="79"/>
      <c r="E2" s="79"/>
      <c r="F2" s="79"/>
      <c r="G2" s="80"/>
    </row>
    <row r="3" spans="1:7" ht="15.6" x14ac:dyDescent="0.3">
      <c r="A3" s="115"/>
      <c r="B3" s="112" t="s">
        <v>6</v>
      </c>
      <c r="C3" s="72"/>
      <c r="D3" s="72"/>
      <c r="E3" s="72"/>
      <c r="F3" s="72"/>
      <c r="G3" s="73"/>
    </row>
    <row r="4" spans="1:7" ht="15.6" x14ac:dyDescent="0.3">
      <c r="A4" s="115"/>
      <c r="B4" s="112"/>
      <c r="C4" s="112" t="s">
        <v>81</v>
      </c>
      <c r="D4" s="72"/>
      <c r="E4" s="72"/>
      <c r="F4" s="72"/>
      <c r="G4" s="73"/>
    </row>
    <row r="5" spans="1:7" ht="15.6" x14ac:dyDescent="0.3">
      <c r="A5" s="115"/>
      <c r="B5" s="112"/>
      <c r="C5" s="112"/>
      <c r="D5" s="72" t="s">
        <v>497</v>
      </c>
      <c r="E5" s="72"/>
      <c r="F5" s="72"/>
      <c r="G5" s="73"/>
    </row>
    <row r="6" spans="1:7" ht="15.6" x14ac:dyDescent="0.3">
      <c r="A6" s="115"/>
      <c r="B6" s="112"/>
      <c r="C6" s="112"/>
      <c r="D6" s="112" t="s">
        <v>498</v>
      </c>
      <c r="E6" s="72"/>
      <c r="F6" s="72"/>
      <c r="G6" s="73"/>
    </row>
    <row r="7" spans="1:7" ht="15.6" x14ac:dyDescent="0.3">
      <c r="A7" s="115"/>
      <c r="B7" s="112"/>
      <c r="C7" s="112"/>
      <c r="D7" s="112"/>
      <c r="E7" s="72" t="s">
        <v>499</v>
      </c>
      <c r="F7" s="72"/>
      <c r="G7" s="73"/>
    </row>
    <row r="8" spans="1:7" ht="15.6" x14ac:dyDescent="0.3">
      <c r="A8" s="115"/>
      <c r="B8" s="112"/>
      <c r="C8" s="112"/>
      <c r="D8" s="112"/>
      <c r="E8" s="72" t="s">
        <v>500</v>
      </c>
      <c r="F8" s="72"/>
      <c r="G8" s="73"/>
    </row>
    <row r="9" spans="1:7" ht="15.6" x14ac:dyDescent="0.3">
      <c r="A9" s="115"/>
      <c r="B9" s="112"/>
      <c r="C9" s="112"/>
      <c r="D9" s="112"/>
      <c r="E9" s="72" t="s">
        <v>501</v>
      </c>
      <c r="F9" s="72"/>
      <c r="G9" s="73"/>
    </row>
    <row r="10" spans="1:7" ht="15.6" x14ac:dyDescent="0.3">
      <c r="A10" s="115"/>
      <c r="B10" s="112"/>
      <c r="C10" s="112"/>
      <c r="D10" s="112"/>
      <c r="E10" s="72" t="s">
        <v>437</v>
      </c>
      <c r="F10" s="72"/>
      <c r="G10" s="73"/>
    </row>
    <row r="11" spans="1:7" ht="15.6" x14ac:dyDescent="0.3">
      <c r="A11" s="115"/>
      <c r="B11" s="112"/>
      <c r="C11" s="112"/>
      <c r="D11" s="112" t="s">
        <v>502</v>
      </c>
      <c r="E11" s="72"/>
      <c r="F11" s="72"/>
      <c r="G11" s="73"/>
    </row>
    <row r="12" spans="1:7" ht="15.6" x14ac:dyDescent="0.3">
      <c r="A12" s="115"/>
      <c r="B12" s="112"/>
      <c r="C12" s="112"/>
      <c r="D12" s="112"/>
      <c r="E12" s="112" t="s">
        <v>503</v>
      </c>
      <c r="F12" s="72"/>
      <c r="G12" s="73"/>
    </row>
    <row r="13" spans="1:7" ht="15.6" x14ac:dyDescent="0.3">
      <c r="A13" s="115"/>
      <c r="B13" s="112"/>
      <c r="C13" s="112"/>
      <c r="D13" s="112"/>
      <c r="E13" s="112"/>
      <c r="F13" s="72" t="s">
        <v>438</v>
      </c>
      <c r="G13" s="73"/>
    </row>
    <row r="14" spans="1:7" ht="15.6" x14ac:dyDescent="0.3">
      <c r="A14" s="115"/>
      <c r="B14" s="112"/>
      <c r="C14" s="112"/>
      <c r="D14" s="112"/>
      <c r="E14" s="112"/>
      <c r="F14" s="112" t="s">
        <v>504</v>
      </c>
      <c r="G14" s="73"/>
    </row>
    <row r="15" spans="1:7" ht="15.6" x14ac:dyDescent="0.3">
      <c r="A15" s="115"/>
      <c r="B15" s="112"/>
      <c r="C15" s="112"/>
      <c r="D15" s="112"/>
      <c r="E15" s="112"/>
      <c r="F15" s="112"/>
      <c r="G15" s="73" t="s">
        <v>505</v>
      </c>
    </row>
    <row r="16" spans="1:7" ht="15.6" x14ac:dyDescent="0.3">
      <c r="A16" s="115"/>
      <c r="B16" s="112"/>
      <c r="C16" s="112"/>
      <c r="D16" s="112"/>
      <c r="E16" s="112"/>
      <c r="F16" s="112"/>
      <c r="G16" s="73" t="s">
        <v>506</v>
      </c>
    </row>
    <row r="17" spans="1:7" ht="15.6" x14ac:dyDescent="0.3">
      <c r="A17" s="115"/>
      <c r="B17" s="112"/>
      <c r="C17" s="112"/>
      <c r="D17" s="112"/>
      <c r="E17" s="112"/>
      <c r="F17" s="112"/>
      <c r="G17" s="73" t="s">
        <v>507</v>
      </c>
    </row>
    <row r="18" spans="1:7" ht="15.6" x14ac:dyDescent="0.3">
      <c r="A18" s="115"/>
      <c r="B18" s="112"/>
      <c r="C18" s="112"/>
      <c r="D18" s="112"/>
      <c r="E18" s="112"/>
      <c r="F18" s="112"/>
      <c r="G18" s="73" t="s">
        <v>508</v>
      </c>
    </row>
    <row r="19" spans="1:7" ht="15.6" x14ac:dyDescent="0.3">
      <c r="A19" s="115"/>
      <c r="B19" s="112"/>
      <c r="C19" s="112"/>
      <c r="D19" s="112"/>
      <c r="E19" s="112"/>
      <c r="F19" s="112"/>
      <c r="G19" s="73" t="s">
        <v>509</v>
      </c>
    </row>
    <row r="20" spans="1:7" ht="15.6" x14ac:dyDescent="0.3">
      <c r="A20" s="115"/>
      <c r="B20" s="112"/>
      <c r="C20" s="112"/>
      <c r="D20" s="112"/>
      <c r="E20" s="112"/>
      <c r="F20" s="112"/>
      <c r="G20" s="73" t="s">
        <v>439</v>
      </c>
    </row>
    <row r="21" spans="1:7" ht="15.6" x14ac:dyDescent="0.3">
      <c r="A21" s="115"/>
      <c r="B21" s="112"/>
      <c r="C21" s="112"/>
      <c r="D21" s="112"/>
      <c r="E21" s="112"/>
      <c r="F21" s="112"/>
      <c r="G21" s="73" t="s">
        <v>510</v>
      </c>
    </row>
    <row r="22" spans="1:7" ht="15.6" x14ac:dyDescent="0.3">
      <c r="A22" s="115"/>
      <c r="B22" s="112"/>
      <c r="C22" s="112"/>
      <c r="D22" s="112"/>
      <c r="E22" s="112"/>
      <c r="F22" s="112"/>
      <c r="G22" s="73" t="s">
        <v>440</v>
      </c>
    </row>
    <row r="23" spans="1:7" ht="15.6" x14ac:dyDescent="0.3">
      <c r="A23" s="115"/>
      <c r="B23" s="112"/>
      <c r="C23" s="112"/>
      <c r="D23" s="112"/>
      <c r="E23" s="112"/>
      <c r="F23" s="112"/>
      <c r="G23" s="73" t="s">
        <v>511</v>
      </c>
    </row>
    <row r="24" spans="1:7" ht="15.6" x14ac:dyDescent="0.3">
      <c r="A24" s="115"/>
      <c r="B24" s="112"/>
      <c r="C24" s="112"/>
      <c r="D24" s="112"/>
      <c r="E24" s="112"/>
      <c r="F24" s="112"/>
      <c r="G24" s="73" t="s">
        <v>512</v>
      </c>
    </row>
    <row r="25" spans="1:7" ht="15.6" x14ac:dyDescent="0.3">
      <c r="A25" s="115"/>
      <c r="B25" s="112"/>
      <c r="C25" s="112"/>
      <c r="D25" s="112"/>
      <c r="E25" s="112"/>
      <c r="F25" s="112"/>
      <c r="G25" s="73" t="s">
        <v>513</v>
      </c>
    </row>
    <row r="26" spans="1:7" ht="15.6" x14ac:dyDescent="0.3">
      <c r="A26" s="115"/>
      <c r="B26" s="112"/>
      <c r="C26" s="112"/>
      <c r="D26" s="112"/>
      <c r="E26" s="112"/>
      <c r="F26" s="112" t="s">
        <v>514</v>
      </c>
      <c r="G26" s="73"/>
    </row>
    <row r="27" spans="1:7" ht="15.6" x14ac:dyDescent="0.3">
      <c r="A27" s="115"/>
      <c r="B27" s="112"/>
      <c r="C27" s="112"/>
      <c r="D27" s="112"/>
      <c r="E27" s="112"/>
      <c r="F27" s="112"/>
      <c r="G27" s="73" t="s">
        <v>515</v>
      </c>
    </row>
    <row r="28" spans="1:7" ht="15.6" x14ac:dyDescent="0.3">
      <c r="A28" s="115"/>
      <c r="B28" s="112"/>
      <c r="C28" s="112"/>
      <c r="D28" s="112"/>
      <c r="E28" s="112"/>
      <c r="F28" s="112"/>
      <c r="G28" s="73" t="s">
        <v>516</v>
      </c>
    </row>
    <row r="29" spans="1:7" ht="15.6" x14ac:dyDescent="0.3">
      <c r="A29" s="115"/>
      <c r="B29" s="112"/>
      <c r="C29" s="112"/>
      <c r="D29" s="112"/>
      <c r="E29" s="112"/>
      <c r="F29" s="112"/>
      <c r="G29" s="73" t="s">
        <v>517</v>
      </c>
    </row>
    <row r="30" spans="1:7" ht="15.6" x14ac:dyDescent="0.3">
      <c r="A30" s="115"/>
      <c r="B30" s="112"/>
      <c r="C30" s="112"/>
      <c r="D30" s="112"/>
      <c r="E30" s="112"/>
      <c r="F30" s="72" t="s">
        <v>518</v>
      </c>
      <c r="G30" s="73"/>
    </row>
    <row r="31" spans="1:7" ht="15.6" x14ac:dyDescent="0.3">
      <c r="A31" s="115"/>
      <c r="B31" s="112"/>
      <c r="C31" s="112"/>
      <c r="D31" s="112"/>
      <c r="E31" s="112"/>
      <c r="F31" s="72" t="s">
        <v>519</v>
      </c>
      <c r="G31" s="73"/>
    </row>
    <row r="32" spans="1:7" ht="15.6" x14ac:dyDescent="0.3">
      <c r="A32" s="115"/>
      <c r="B32" s="112"/>
      <c r="C32" s="112"/>
      <c r="D32" s="112"/>
      <c r="E32" s="112"/>
      <c r="F32" s="72" t="s">
        <v>520</v>
      </c>
      <c r="G32" s="73"/>
    </row>
    <row r="33" spans="1:7" ht="15.6" x14ac:dyDescent="0.3">
      <c r="A33" s="115"/>
      <c r="B33" s="112"/>
      <c r="C33" s="112"/>
      <c r="D33" s="112"/>
      <c r="E33" s="112"/>
      <c r="F33" s="72" t="s">
        <v>521</v>
      </c>
      <c r="G33" s="73"/>
    </row>
    <row r="34" spans="1:7" ht="15.6" x14ac:dyDescent="0.3">
      <c r="A34" s="115"/>
      <c r="B34" s="112"/>
      <c r="C34" s="112"/>
      <c r="D34" s="112"/>
      <c r="E34" s="112"/>
      <c r="F34" s="72" t="s">
        <v>522</v>
      </c>
      <c r="G34" s="73"/>
    </row>
    <row r="35" spans="1:7" ht="15.6" x14ac:dyDescent="0.3">
      <c r="A35" s="115"/>
      <c r="B35" s="112"/>
      <c r="C35" s="112"/>
      <c r="D35" s="112"/>
      <c r="E35" s="112" t="s">
        <v>523</v>
      </c>
      <c r="F35" s="72"/>
      <c r="G35" s="73"/>
    </row>
    <row r="36" spans="1:7" ht="15.6" x14ac:dyDescent="0.3">
      <c r="A36" s="115"/>
      <c r="B36" s="112"/>
      <c r="C36" s="112"/>
      <c r="D36" s="112"/>
      <c r="E36" s="112"/>
      <c r="F36" s="72" t="s">
        <v>524</v>
      </c>
      <c r="G36" s="73"/>
    </row>
    <row r="37" spans="1:7" ht="15.6" x14ac:dyDescent="0.3">
      <c r="A37" s="115"/>
      <c r="B37" s="112"/>
      <c r="C37" s="112"/>
      <c r="D37" s="112"/>
      <c r="E37" s="112"/>
      <c r="F37" s="72" t="s">
        <v>525</v>
      </c>
      <c r="G37" s="73"/>
    </row>
    <row r="38" spans="1:7" ht="15.6" x14ac:dyDescent="0.3">
      <c r="A38" s="115"/>
      <c r="B38" s="112"/>
      <c r="C38" s="112"/>
      <c r="D38" s="112" t="s">
        <v>526</v>
      </c>
      <c r="E38" s="72"/>
      <c r="F38" s="72"/>
      <c r="G38" s="73"/>
    </row>
    <row r="39" spans="1:7" ht="15.6" x14ac:dyDescent="0.3">
      <c r="A39" s="115"/>
      <c r="B39" s="112"/>
      <c r="C39" s="112"/>
      <c r="D39" s="112"/>
      <c r="E39" s="112" t="s">
        <v>527</v>
      </c>
      <c r="F39" s="72"/>
      <c r="G39" s="73"/>
    </row>
    <row r="40" spans="1:7" ht="15.6" x14ac:dyDescent="0.3">
      <c r="A40" s="115"/>
      <c r="B40" s="112"/>
      <c r="C40" s="112"/>
      <c r="D40" s="112"/>
      <c r="E40" s="112"/>
      <c r="F40" s="72" t="s">
        <v>528</v>
      </c>
      <c r="G40" s="73"/>
    </row>
    <row r="41" spans="1:7" ht="15.6" x14ac:dyDescent="0.3">
      <c r="A41" s="115"/>
      <c r="B41" s="112"/>
      <c r="C41" s="112"/>
      <c r="D41" s="112"/>
      <c r="E41" s="112"/>
      <c r="F41" s="72" t="s">
        <v>529</v>
      </c>
      <c r="G41" s="73"/>
    </row>
    <row r="42" spans="1:7" ht="15.6" x14ac:dyDescent="0.3">
      <c r="A42" s="115"/>
      <c r="B42" s="112"/>
      <c r="C42" s="112"/>
      <c r="D42" s="112"/>
      <c r="E42" s="72" t="s">
        <v>530</v>
      </c>
      <c r="F42" s="72"/>
      <c r="G42" s="73"/>
    </row>
    <row r="43" spans="1:7" ht="15.6" x14ac:dyDescent="0.3">
      <c r="A43" s="115"/>
      <c r="B43" s="112"/>
      <c r="C43" s="112"/>
      <c r="D43" s="112"/>
      <c r="E43" s="72" t="s">
        <v>441</v>
      </c>
      <c r="F43" s="72"/>
      <c r="G43" s="73"/>
    </row>
    <row r="44" spans="1:7" ht="15.6" x14ac:dyDescent="0.3">
      <c r="A44" s="115"/>
      <c r="B44" s="112"/>
      <c r="C44" s="112"/>
      <c r="D44" s="112"/>
      <c r="E44" s="112" t="s">
        <v>531</v>
      </c>
      <c r="F44" s="72"/>
      <c r="G44" s="73"/>
    </row>
    <row r="45" spans="1:7" ht="15.6" x14ac:dyDescent="0.3">
      <c r="A45" s="115"/>
      <c r="B45" s="112"/>
      <c r="C45" s="112"/>
      <c r="D45" s="112"/>
      <c r="E45" s="112"/>
      <c r="F45" s="72" t="s">
        <v>532</v>
      </c>
      <c r="G45" s="73"/>
    </row>
    <row r="46" spans="1:7" ht="15.6" x14ac:dyDescent="0.3">
      <c r="A46" s="115"/>
      <c r="B46" s="112"/>
      <c r="C46" s="112"/>
      <c r="D46" s="112"/>
      <c r="E46" s="112"/>
      <c r="F46" s="72" t="s">
        <v>533</v>
      </c>
      <c r="G46" s="73"/>
    </row>
    <row r="47" spans="1:7" ht="15.6" x14ac:dyDescent="0.3">
      <c r="A47" s="115"/>
      <c r="B47" s="112"/>
      <c r="C47" s="112"/>
      <c r="D47" s="72" t="s">
        <v>534</v>
      </c>
      <c r="E47" s="72"/>
      <c r="F47" s="72"/>
      <c r="G47" s="73"/>
    </row>
    <row r="48" spans="1:7" ht="15.6" x14ac:dyDescent="0.3">
      <c r="A48" s="115"/>
      <c r="B48" s="112"/>
      <c r="C48" s="112"/>
      <c r="D48" s="72" t="s">
        <v>535</v>
      </c>
      <c r="E48" s="72"/>
      <c r="F48" s="72"/>
      <c r="G48" s="73"/>
    </row>
    <row r="49" spans="1:7" ht="15.6" x14ac:dyDescent="0.3">
      <c r="A49" s="115"/>
      <c r="B49" s="112"/>
      <c r="C49" s="112"/>
      <c r="D49" s="72" t="s">
        <v>536</v>
      </c>
      <c r="E49" s="72"/>
      <c r="F49" s="72"/>
      <c r="G49" s="73"/>
    </row>
    <row r="50" spans="1:7" ht="15.6" x14ac:dyDescent="0.3">
      <c r="A50" s="115"/>
      <c r="B50" s="112"/>
      <c r="C50" s="112"/>
      <c r="D50" s="72" t="s">
        <v>537</v>
      </c>
      <c r="E50" s="72"/>
      <c r="F50" s="72"/>
      <c r="G50" s="73"/>
    </row>
    <row r="51" spans="1:7" ht="15.6" x14ac:dyDescent="0.3">
      <c r="A51" s="115"/>
      <c r="B51" s="112"/>
      <c r="C51" s="112"/>
      <c r="D51" s="112" t="s">
        <v>538</v>
      </c>
      <c r="E51" s="72"/>
      <c r="F51" s="72"/>
      <c r="G51" s="73"/>
    </row>
    <row r="52" spans="1:7" ht="15.6" x14ac:dyDescent="0.3">
      <c r="A52" s="115"/>
      <c r="B52" s="112"/>
      <c r="C52" s="112"/>
      <c r="D52" s="112"/>
      <c r="E52" s="72" t="s">
        <v>539</v>
      </c>
      <c r="F52" s="72"/>
      <c r="G52" s="73"/>
    </row>
    <row r="53" spans="1:7" ht="15.6" x14ac:dyDescent="0.3">
      <c r="A53" s="115"/>
      <c r="B53" s="112"/>
      <c r="C53" s="112"/>
      <c r="D53" s="72" t="s">
        <v>540</v>
      </c>
      <c r="E53" s="72"/>
      <c r="F53" s="72"/>
      <c r="G53" s="73"/>
    </row>
    <row r="54" spans="1:7" ht="15.6" x14ac:dyDescent="0.3">
      <c r="A54" s="115"/>
      <c r="B54" s="112"/>
      <c r="C54" s="112"/>
      <c r="D54" s="72" t="s">
        <v>442</v>
      </c>
      <c r="E54" s="72"/>
      <c r="F54" s="72"/>
      <c r="G54" s="73"/>
    </row>
    <row r="55" spans="1:7" ht="15.6" x14ac:dyDescent="0.3">
      <c r="A55" s="115"/>
      <c r="B55" s="112"/>
      <c r="C55" s="112"/>
      <c r="D55" s="112" t="s">
        <v>541</v>
      </c>
      <c r="E55" s="72"/>
      <c r="F55" s="72"/>
      <c r="G55" s="73"/>
    </row>
    <row r="56" spans="1:7" ht="15.6" x14ac:dyDescent="0.3">
      <c r="A56" s="115"/>
      <c r="B56" s="112"/>
      <c r="C56" s="112"/>
      <c r="D56" s="112"/>
      <c r="E56" s="72" t="s">
        <v>542</v>
      </c>
      <c r="F56" s="72"/>
      <c r="G56" s="73"/>
    </row>
    <row r="57" spans="1:7" ht="15.6" x14ac:dyDescent="0.3">
      <c r="A57" s="115"/>
      <c r="B57" s="112"/>
      <c r="C57" s="112"/>
      <c r="D57" s="112"/>
      <c r="E57" s="72" t="s">
        <v>443</v>
      </c>
      <c r="F57" s="72"/>
      <c r="G57" s="73"/>
    </row>
    <row r="58" spans="1:7" ht="15.6" x14ac:dyDescent="0.3">
      <c r="A58" s="115"/>
      <c r="B58" s="112"/>
      <c r="C58" s="112"/>
      <c r="D58" s="112"/>
      <c r="E58" s="72" t="s">
        <v>444</v>
      </c>
      <c r="F58" s="72"/>
      <c r="G58" s="73"/>
    </row>
    <row r="59" spans="1:7" ht="15.6" x14ac:dyDescent="0.3">
      <c r="A59" s="115"/>
      <c r="B59" s="112"/>
      <c r="C59" s="112"/>
      <c r="D59" s="112"/>
      <c r="E59" s="72" t="s">
        <v>543</v>
      </c>
      <c r="F59" s="72"/>
      <c r="G59" s="73"/>
    </row>
    <row r="60" spans="1:7" ht="15.6" x14ac:dyDescent="0.3">
      <c r="A60" s="115"/>
      <c r="B60" s="112"/>
      <c r="C60" s="112"/>
      <c r="D60" s="112"/>
      <c r="E60" s="112" t="s">
        <v>544</v>
      </c>
      <c r="F60" s="72"/>
      <c r="G60" s="73"/>
    </row>
    <row r="61" spans="1:7" ht="15.6" x14ac:dyDescent="0.3">
      <c r="A61" s="115"/>
      <c r="B61" s="112"/>
      <c r="C61" s="112"/>
      <c r="D61" s="112"/>
      <c r="E61" s="112"/>
      <c r="F61" s="112" t="s">
        <v>445</v>
      </c>
      <c r="G61" s="73"/>
    </row>
    <row r="62" spans="1:7" ht="15.6" x14ac:dyDescent="0.3">
      <c r="A62" s="115"/>
      <c r="B62" s="112"/>
      <c r="C62" s="112"/>
      <c r="D62" s="112"/>
      <c r="E62" s="112"/>
      <c r="F62" s="112"/>
      <c r="G62" s="73" t="s">
        <v>545</v>
      </c>
    </row>
    <row r="63" spans="1:7" ht="15.6" x14ac:dyDescent="0.3">
      <c r="A63" s="115"/>
      <c r="B63" s="112"/>
      <c r="C63" s="112"/>
      <c r="D63" s="112"/>
      <c r="E63" s="72" t="s">
        <v>446</v>
      </c>
      <c r="F63" s="72"/>
      <c r="G63" s="73"/>
    </row>
    <row r="64" spans="1:7" ht="15.6" x14ac:dyDescent="0.3">
      <c r="A64" s="115"/>
      <c r="B64" s="112"/>
      <c r="C64" s="112"/>
      <c r="D64" s="112"/>
      <c r="E64" s="72" t="s">
        <v>546</v>
      </c>
      <c r="F64" s="72"/>
      <c r="G64" s="73"/>
    </row>
    <row r="65" spans="1:7" ht="15.6" x14ac:dyDescent="0.3">
      <c r="A65" s="115"/>
      <c r="B65" s="112"/>
      <c r="C65" s="112"/>
      <c r="D65" s="112"/>
      <c r="E65" s="112" t="s">
        <v>447</v>
      </c>
      <c r="F65" s="72"/>
      <c r="G65" s="73"/>
    </row>
    <row r="66" spans="1:7" ht="15.6" x14ac:dyDescent="0.3">
      <c r="A66" s="115"/>
      <c r="B66" s="112"/>
      <c r="C66" s="112"/>
      <c r="D66" s="112"/>
      <c r="E66" s="112"/>
      <c r="F66" s="72" t="s">
        <v>448</v>
      </c>
      <c r="G66" s="73"/>
    </row>
    <row r="67" spans="1:7" ht="15.6" x14ac:dyDescent="0.3">
      <c r="A67" s="115"/>
      <c r="B67" s="112"/>
      <c r="C67" s="112"/>
      <c r="D67" s="112" t="s">
        <v>547</v>
      </c>
      <c r="E67" s="72"/>
      <c r="F67" s="72"/>
      <c r="G67" s="73"/>
    </row>
    <row r="68" spans="1:7" ht="15.6" x14ac:dyDescent="0.3">
      <c r="A68" s="115"/>
      <c r="B68" s="112"/>
      <c r="C68" s="112"/>
      <c r="D68" s="112"/>
      <c r="E68" s="72" t="s">
        <v>548</v>
      </c>
      <c r="F68" s="72"/>
      <c r="G68" s="73"/>
    </row>
    <row r="69" spans="1:7" ht="15.6" x14ac:dyDescent="0.3">
      <c r="A69" s="115"/>
      <c r="B69" s="112"/>
      <c r="C69" s="112"/>
      <c r="D69" s="112"/>
      <c r="E69" s="72" t="s">
        <v>549</v>
      </c>
      <c r="F69" s="72"/>
      <c r="G69" s="73"/>
    </row>
    <row r="70" spans="1:7" ht="15.6" x14ac:dyDescent="0.3">
      <c r="A70" s="115"/>
      <c r="B70" s="112"/>
      <c r="C70" s="112"/>
      <c r="D70" s="112"/>
      <c r="E70" s="72" t="s">
        <v>449</v>
      </c>
      <c r="F70" s="72"/>
      <c r="G70" s="73"/>
    </row>
    <row r="71" spans="1:7" ht="15.6" x14ac:dyDescent="0.3">
      <c r="A71" s="115"/>
      <c r="B71" s="112"/>
      <c r="C71" s="112"/>
      <c r="D71" s="112" t="s">
        <v>550</v>
      </c>
      <c r="E71" s="72"/>
      <c r="F71" s="72"/>
      <c r="G71" s="73"/>
    </row>
    <row r="72" spans="1:7" ht="15.6" x14ac:dyDescent="0.3">
      <c r="A72" s="115"/>
      <c r="B72" s="112"/>
      <c r="C72" s="112"/>
      <c r="D72" s="112"/>
      <c r="E72" s="72" t="s">
        <v>551</v>
      </c>
      <c r="F72" s="72"/>
      <c r="G72" s="73"/>
    </row>
    <row r="73" spans="1:7" ht="15.6" x14ac:dyDescent="0.3">
      <c r="A73" s="115"/>
      <c r="B73" s="112"/>
      <c r="C73" s="112"/>
      <c r="D73" s="72" t="s">
        <v>552</v>
      </c>
      <c r="E73" s="72"/>
      <c r="F73" s="72"/>
      <c r="G73" s="73"/>
    </row>
    <row r="74" spans="1:7" ht="15.6" x14ac:dyDescent="0.3">
      <c r="A74" s="115"/>
      <c r="B74" s="112"/>
      <c r="C74" s="112"/>
      <c r="D74" s="72" t="s">
        <v>553</v>
      </c>
      <c r="E74" s="72"/>
      <c r="F74" s="72"/>
      <c r="G74" s="73"/>
    </row>
    <row r="75" spans="1:7" ht="15.6" x14ac:dyDescent="0.3">
      <c r="A75" s="115"/>
      <c r="B75" s="112"/>
      <c r="C75" s="112"/>
      <c r="D75" s="112" t="s">
        <v>554</v>
      </c>
      <c r="E75" s="72"/>
      <c r="F75" s="72"/>
      <c r="G75" s="73"/>
    </row>
    <row r="76" spans="1:7" ht="15.6" x14ac:dyDescent="0.3">
      <c r="A76" s="115"/>
      <c r="B76" s="112"/>
      <c r="C76" s="112"/>
      <c r="D76" s="112"/>
      <c r="E76" s="72" t="s">
        <v>450</v>
      </c>
      <c r="F76" s="72"/>
      <c r="G76" s="73"/>
    </row>
    <row r="77" spans="1:7" ht="15.6" x14ac:dyDescent="0.3">
      <c r="A77" s="115"/>
      <c r="B77" s="112"/>
      <c r="C77" s="112"/>
      <c r="D77" s="72" t="s">
        <v>555</v>
      </c>
      <c r="E77" s="72"/>
      <c r="F77" s="72"/>
      <c r="G77" s="73"/>
    </row>
    <row r="78" spans="1:7" ht="15.6" x14ac:dyDescent="0.3">
      <c r="A78" s="115"/>
      <c r="B78" s="112"/>
      <c r="C78" s="112"/>
      <c r="D78" s="72" t="s">
        <v>556</v>
      </c>
      <c r="E78" s="72"/>
      <c r="F78" s="72"/>
      <c r="G78" s="73"/>
    </row>
    <row r="79" spans="1:7" ht="15.6" x14ac:dyDescent="0.3">
      <c r="A79" s="115"/>
      <c r="B79" s="112"/>
      <c r="C79" s="112"/>
      <c r="D79" s="72" t="s">
        <v>557</v>
      </c>
      <c r="E79" s="72"/>
      <c r="F79" s="72"/>
      <c r="G79" s="73"/>
    </row>
    <row r="80" spans="1:7" ht="15.6" x14ac:dyDescent="0.3">
      <c r="A80" s="115"/>
      <c r="B80" s="112"/>
      <c r="C80" s="112"/>
      <c r="D80" s="112" t="s">
        <v>558</v>
      </c>
      <c r="E80" s="72"/>
      <c r="F80" s="72"/>
      <c r="G80" s="73"/>
    </row>
    <row r="81" spans="1:7" ht="15.6" x14ac:dyDescent="0.3">
      <c r="A81" s="115"/>
      <c r="B81" s="112"/>
      <c r="C81" s="112"/>
      <c r="D81" s="112"/>
      <c r="E81" s="72" t="s">
        <v>559</v>
      </c>
      <c r="F81" s="72"/>
      <c r="G81" s="73"/>
    </row>
    <row r="82" spans="1:7" ht="15.6" x14ac:dyDescent="0.3">
      <c r="A82" s="115"/>
      <c r="B82" s="112"/>
      <c r="C82" s="112"/>
      <c r="D82" s="112"/>
      <c r="E82" s="72" t="s">
        <v>481</v>
      </c>
      <c r="F82" s="72"/>
      <c r="G82" s="73"/>
    </row>
    <row r="83" spans="1:7" ht="15.6" x14ac:dyDescent="0.3">
      <c r="A83" s="115"/>
      <c r="B83" s="112"/>
      <c r="C83" s="112"/>
      <c r="D83" s="112"/>
      <c r="E83" s="72" t="s">
        <v>560</v>
      </c>
      <c r="F83" s="72"/>
      <c r="G83" s="73"/>
    </row>
    <row r="84" spans="1:7" ht="15.6" x14ac:dyDescent="0.3">
      <c r="A84" s="115"/>
      <c r="B84" s="112"/>
      <c r="C84" s="112"/>
      <c r="D84" s="72" t="s">
        <v>561</v>
      </c>
      <c r="E84" s="72"/>
      <c r="F84" s="72"/>
      <c r="G84" s="73"/>
    </row>
    <row r="85" spans="1:7" ht="15.6" x14ac:dyDescent="0.3">
      <c r="A85" s="115"/>
      <c r="B85" s="112"/>
      <c r="C85" s="112"/>
      <c r="D85" s="72" t="s">
        <v>562</v>
      </c>
      <c r="E85" s="72"/>
      <c r="F85" s="72"/>
      <c r="G85" s="73"/>
    </row>
    <row r="86" spans="1:7" ht="15.6" x14ac:dyDescent="0.3">
      <c r="A86" s="115"/>
      <c r="B86" s="112"/>
      <c r="C86" s="112" t="s">
        <v>76</v>
      </c>
      <c r="D86" s="72"/>
      <c r="E86" s="72"/>
      <c r="F86" s="72"/>
      <c r="G86" s="73"/>
    </row>
    <row r="87" spans="1:7" ht="15.6" x14ac:dyDescent="0.3">
      <c r="A87" s="115"/>
      <c r="B87" s="112"/>
      <c r="C87" s="112"/>
      <c r="D87" s="72" t="s">
        <v>563</v>
      </c>
      <c r="E87" s="72"/>
      <c r="F87" s="72"/>
      <c r="G87" s="73"/>
    </row>
    <row r="88" spans="1:7" ht="15.6" x14ac:dyDescent="0.3">
      <c r="A88" s="115"/>
      <c r="B88" s="112"/>
      <c r="C88" s="72" t="s">
        <v>77</v>
      </c>
      <c r="D88" s="72"/>
      <c r="E88" s="72"/>
      <c r="F88" s="72"/>
      <c r="G88" s="73"/>
    </row>
    <row r="89" spans="1:7" ht="15.6" x14ac:dyDescent="0.3">
      <c r="A89" s="115"/>
      <c r="B89" s="112"/>
      <c r="C89" s="72" t="s">
        <v>564</v>
      </c>
      <c r="D89" s="72"/>
      <c r="E89" s="72"/>
      <c r="F89" s="72"/>
      <c r="G89" s="73"/>
    </row>
    <row r="90" spans="1:7" ht="15.6" x14ac:dyDescent="0.3">
      <c r="A90" s="115"/>
      <c r="B90" s="112"/>
      <c r="C90" s="112" t="s">
        <v>78</v>
      </c>
      <c r="D90" s="72"/>
      <c r="E90" s="72"/>
      <c r="F90" s="72"/>
      <c r="G90" s="73"/>
    </row>
    <row r="91" spans="1:7" ht="15.6" x14ac:dyDescent="0.3">
      <c r="A91" s="115"/>
      <c r="B91" s="112"/>
      <c r="C91" s="112"/>
      <c r="D91" s="72" t="s">
        <v>565</v>
      </c>
      <c r="E91" s="72"/>
      <c r="F91" s="72"/>
      <c r="G91" s="73"/>
    </row>
    <row r="92" spans="1:7" ht="15.6" x14ac:dyDescent="0.3">
      <c r="A92" s="115"/>
      <c r="B92" s="112"/>
      <c r="C92" s="112"/>
      <c r="D92" s="72" t="s">
        <v>566</v>
      </c>
      <c r="E92" s="72"/>
      <c r="F92" s="72"/>
      <c r="G92" s="73"/>
    </row>
    <row r="93" spans="1:7" ht="15.6" x14ac:dyDescent="0.3">
      <c r="A93" s="115"/>
      <c r="B93" s="112"/>
      <c r="C93" s="112"/>
      <c r="D93" s="72" t="s">
        <v>567</v>
      </c>
      <c r="E93" s="72"/>
      <c r="F93" s="72"/>
      <c r="G93" s="73"/>
    </row>
    <row r="94" spans="1:7" ht="15.6" x14ac:dyDescent="0.3">
      <c r="A94" s="115"/>
      <c r="B94" s="112"/>
      <c r="C94" s="112"/>
      <c r="D94" s="72" t="s">
        <v>568</v>
      </c>
      <c r="E94" s="72"/>
      <c r="F94" s="72"/>
      <c r="G94" s="73"/>
    </row>
    <row r="95" spans="1:7" ht="15.6" x14ac:dyDescent="0.3">
      <c r="A95" s="115"/>
      <c r="B95" s="112"/>
      <c r="C95" s="112" t="s">
        <v>79</v>
      </c>
      <c r="D95" s="72"/>
      <c r="E95" s="72"/>
      <c r="F95" s="72"/>
      <c r="G95" s="73"/>
    </row>
    <row r="96" spans="1:7" ht="15.6" x14ac:dyDescent="0.3">
      <c r="A96" s="115"/>
      <c r="B96" s="112"/>
      <c r="C96" s="112"/>
      <c r="D96" s="72" t="s">
        <v>569</v>
      </c>
      <c r="E96" s="72"/>
      <c r="F96" s="72"/>
      <c r="G96" s="73"/>
    </row>
    <row r="97" spans="1:7" ht="15.6" x14ac:dyDescent="0.3">
      <c r="A97" s="115"/>
      <c r="B97" s="112"/>
      <c r="C97" s="112"/>
      <c r="D97" s="72" t="s">
        <v>570</v>
      </c>
      <c r="E97" s="72"/>
      <c r="F97" s="72"/>
      <c r="G97" s="73"/>
    </row>
    <row r="98" spans="1:7" ht="15.6" x14ac:dyDescent="0.3">
      <c r="A98" s="115"/>
      <c r="B98" s="112"/>
      <c r="C98" s="72" t="s">
        <v>80</v>
      </c>
      <c r="D98" s="72"/>
      <c r="E98" s="72"/>
      <c r="F98" s="72"/>
      <c r="G98" s="73"/>
    </row>
    <row r="99" spans="1:7" ht="15.6" x14ac:dyDescent="0.3">
      <c r="A99" s="115"/>
      <c r="B99" s="112" t="s">
        <v>82</v>
      </c>
      <c r="C99" s="72"/>
      <c r="D99" s="72"/>
      <c r="E99" s="72"/>
      <c r="F99" s="72"/>
      <c r="G99" s="73"/>
    </row>
    <row r="100" spans="1:7" ht="15.6" x14ac:dyDescent="0.3">
      <c r="A100" s="115"/>
      <c r="B100" s="112"/>
      <c r="C100" s="72" t="s">
        <v>83</v>
      </c>
      <c r="D100" s="72"/>
      <c r="E100" s="72"/>
      <c r="F100" s="72"/>
      <c r="G100" s="73"/>
    </row>
    <row r="101" spans="1:7" ht="15.6" x14ac:dyDescent="0.3">
      <c r="A101" s="115"/>
      <c r="B101" s="112"/>
      <c r="C101" s="72" t="s">
        <v>84</v>
      </c>
      <c r="D101" s="72"/>
      <c r="E101" s="72"/>
      <c r="F101" s="72"/>
      <c r="G101" s="73"/>
    </row>
    <row r="102" spans="1:7" ht="15.6" x14ac:dyDescent="0.3">
      <c r="A102" s="115"/>
      <c r="B102" s="112"/>
      <c r="C102" s="72" t="s">
        <v>85</v>
      </c>
      <c r="D102" s="72"/>
      <c r="E102" s="72"/>
      <c r="F102" s="72"/>
      <c r="G102" s="73"/>
    </row>
    <row r="103" spans="1:7" ht="15.6" x14ac:dyDescent="0.3">
      <c r="A103" s="115"/>
      <c r="B103" s="112"/>
      <c r="C103" s="112" t="s">
        <v>86</v>
      </c>
      <c r="D103" s="72"/>
      <c r="E103" s="72"/>
      <c r="F103" s="72"/>
      <c r="G103" s="73"/>
    </row>
    <row r="104" spans="1:7" ht="15.6" x14ac:dyDescent="0.3">
      <c r="A104" s="115"/>
      <c r="B104" s="112"/>
      <c r="C104" s="112"/>
      <c r="D104" s="72" t="s">
        <v>451</v>
      </c>
      <c r="E104" s="72"/>
      <c r="F104" s="72"/>
      <c r="G104" s="73"/>
    </row>
    <row r="105" spans="1:7" ht="15.6" x14ac:dyDescent="0.3">
      <c r="A105" s="115"/>
      <c r="B105" s="112"/>
      <c r="C105" s="72" t="s">
        <v>87</v>
      </c>
      <c r="D105" s="72"/>
      <c r="E105" s="72"/>
      <c r="F105" s="72"/>
      <c r="G105" s="73"/>
    </row>
    <row r="106" spans="1:7" ht="15.6" x14ac:dyDescent="0.3">
      <c r="A106" s="115"/>
      <c r="B106" s="112"/>
      <c r="C106" s="72" t="s">
        <v>88</v>
      </c>
      <c r="D106" s="72"/>
      <c r="E106" s="72"/>
      <c r="F106" s="72"/>
      <c r="G106" s="73"/>
    </row>
    <row r="107" spans="1:7" ht="15.6" x14ac:dyDescent="0.3">
      <c r="A107" s="115"/>
      <c r="B107" s="112"/>
      <c r="C107" s="72" t="s">
        <v>89</v>
      </c>
      <c r="D107" s="72"/>
      <c r="E107" s="72"/>
      <c r="F107" s="72"/>
      <c r="G107" s="73"/>
    </row>
    <row r="108" spans="1:7" ht="15.6" x14ac:dyDescent="0.3">
      <c r="A108" s="115"/>
      <c r="B108" s="112"/>
      <c r="C108" s="72" t="s">
        <v>90</v>
      </c>
      <c r="D108" s="72"/>
      <c r="E108" s="72"/>
      <c r="F108" s="72"/>
      <c r="G108" s="73"/>
    </row>
    <row r="109" spans="1:7" ht="15.6" x14ac:dyDescent="0.3">
      <c r="A109" s="115"/>
      <c r="B109" s="112"/>
      <c r="C109" s="72" t="s">
        <v>91</v>
      </c>
      <c r="D109" s="72"/>
      <c r="E109" s="72"/>
      <c r="F109" s="72"/>
      <c r="G109" s="73"/>
    </row>
    <row r="110" spans="1:7" ht="15.6" x14ac:dyDescent="0.3">
      <c r="A110" s="115"/>
      <c r="B110" s="112"/>
      <c r="C110" s="112" t="s">
        <v>452</v>
      </c>
      <c r="D110" s="72"/>
      <c r="E110" s="72"/>
      <c r="F110" s="72"/>
      <c r="G110" s="73"/>
    </row>
    <row r="111" spans="1:7" ht="15.6" x14ac:dyDescent="0.3">
      <c r="A111" s="115"/>
      <c r="B111" s="112"/>
      <c r="C111" s="112"/>
      <c r="D111" s="72" t="s">
        <v>571</v>
      </c>
      <c r="E111" s="72"/>
      <c r="F111" s="72"/>
      <c r="G111" s="73"/>
    </row>
    <row r="112" spans="1:7" ht="15.6" x14ac:dyDescent="0.3">
      <c r="A112" s="115"/>
      <c r="B112" s="112"/>
      <c r="C112" s="112"/>
      <c r="D112" s="72" t="s">
        <v>572</v>
      </c>
      <c r="E112" s="72"/>
      <c r="F112" s="72"/>
      <c r="G112" s="73"/>
    </row>
    <row r="113" spans="1:7" ht="15.6" x14ac:dyDescent="0.3">
      <c r="A113" s="115"/>
      <c r="B113" s="112"/>
      <c r="C113" s="72" t="s">
        <v>573</v>
      </c>
      <c r="D113" s="72"/>
      <c r="E113" s="72"/>
      <c r="F113" s="72"/>
      <c r="G113" s="73"/>
    </row>
    <row r="114" spans="1:7" ht="15.6" x14ac:dyDescent="0.3">
      <c r="A114" s="115"/>
      <c r="B114" s="112"/>
      <c r="C114" s="72" t="s">
        <v>574</v>
      </c>
      <c r="D114" s="72"/>
      <c r="E114" s="72"/>
      <c r="F114" s="72"/>
      <c r="G114" s="73"/>
    </row>
    <row r="115" spans="1:7" ht="15.6" x14ac:dyDescent="0.3">
      <c r="A115" s="115"/>
      <c r="B115" s="112"/>
      <c r="C115" s="72" t="s">
        <v>575</v>
      </c>
      <c r="D115" s="72"/>
      <c r="E115" s="72"/>
      <c r="F115" s="72"/>
      <c r="G115" s="73"/>
    </row>
    <row r="116" spans="1:7" ht="15.6" x14ac:dyDescent="0.3">
      <c r="A116" s="115"/>
      <c r="B116" s="112"/>
      <c r="C116" s="72" t="s">
        <v>576</v>
      </c>
      <c r="D116" s="72"/>
      <c r="E116" s="72"/>
      <c r="F116" s="72"/>
      <c r="G116" s="73"/>
    </row>
    <row r="117" spans="1:7" ht="15.6" x14ac:dyDescent="0.3">
      <c r="A117" s="115"/>
      <c r="B117" s="112"/>
      <c r="C117" s="72" t="s">
        <v>577</v>
      </c>
      <c r="D117" s="72"/>
      <c r="E117" s="72"/>
      <c r="F117" s="72"/>
      <c r="G117" s="73"/>
    </row>
    <row r="118" spans="1:7" ht="15.6" x14ac:dyDescent="0.3">
      <c r="A118" s="115"/>
      <c r="B118" s="112" t="s">
        <v>94</v>
      </c>
      <c r="C118" s="72"/>
      <c r="D118" s="72"/>
      <c r="E118" s="72"/>
      <c r="F118" s="72"/>
      <c r="G118" s="73"/>
    </row>
    <row r="119" spans="1:7" ht="15.6" x14ac:dyDescent="0.3">
      <c r="A119" s="115"/>
      <c r="B119" s="112"/>
      <c r="C119" s="112" t="s">
        <v>95</v>
      </c>
      <c r="D119" s="72"/>
      <c r="E119" s="72"/>
      <c r="F119" s="72"/>
      <c r="G119" s="73"/>
    </row>
    <row r="120" spans="1:7" ht="15.6" x14ac:dyDescent="0.3">
      <c r="A120" s="115"/>
      <c r="B120" s="112"/>
      <c r="C120" s="112"/>
      <c r="D120" s="72" t="s">
        <v>453</v>
      </c>
      <c r="E120" s="72"/>
      <c r="F120" s="72"/>
      <c r="G120" s="73"/>
    </row>
    <row r="121" spans="1:7" ht="15.6" x14ac:dyDescent="0.3">
      <c r="A121" s="115"/>
      <c r="B121" s="112"/>
      <c r="C121" s="112"/>
      <c r="D121" s="72" t="s">
        <v>454</v>
      </c>
      <c r="E121" s="72"/>
      <c r="F121" s="72"/>
      <c r="G121" s="73"/>
    </row>
    <row r="122" spans="1:7" ht="16.2" thickBot="1" x14ac:dyDescent="0.35">
      <c r="A122" s="120"/>
      <c r="B122" s="113"/>
      <c r="C122" s="113"/>
      <c r="D122" s="74" t="s">
        <v>455</v>
      </c>
      <c r="E122" s="74"/>
      <c r="F122" s="74"/>
      <c r="G122" s="75"/>
    </row>
    <row r="123" spans="1:7" ht="15.6" x14ac:dyDescent="0.3">
      <c r="A123" s="114" t="s">
        <v>96</v>
      </c>
      <c r="B123" s="79"/>
      <c r="C123" s="79"/>
      <c r="D123" s="79"/>
      <c r="E123" s="79"/>
      <c r="F123" s="79"/>
      <c r="G123" s="80"/>
    </row>
    <row r="124" spans="1:7" ht="15.6" x14ac:dyDescent="0.3">
      <c r="A124" s="115"/>
      <c r="B124" s="112" t="s">
        <v>97</v>
      </c>
      <c r="C124" s="72"/>
      <c r="D124" s="72"/>
      <c r="E124" s="72"/>
      <c r="F124" s="72"/>
      <c r="G124" s="73"/>
    </row>
    <row r="125" spans="1:7" ht="15.6" x14ac:dyDescent="0.3">
      <c r="A125" s="115"/>
      <c r="B125" s="112"/>
      <c r="C125" s="112" t="s">
        <v>98</v>
      </c>
      <c r="D125" s="72"/>
      <c r="E125" s="72"/>
      <c r="F125" s="72"/>
      <c r="G125" s="73"/>
    </row>
    <row r="126" spans="1:7" ht="15.6" x14ac:dyDescent="0.3">
      <c r="A126" s="115"/>
      <c r="B126" s="112"/>
      <c r="C126" s="112"/>
      <c r="D126" s="72" t="s">
        <v>498</v>
      </c>
      <c r="E126" s="72"/>
      <c r="F126" s="72"/>
      <c r="G126" s="73"/>
    </row>
    <row r="127" spans="1:7" ht="15.6" x14ac:dyDescent="0.3">
      <c r="A127" s="115"/>
      <c r="B127" s="112"/>
      <c r="C127" s="112"/>
      <c r="D127" s="72" t="s">
        <v>578</v>
      </c>
      <c r="E127" s="72"/>
      <c r="F127" s="72"/>
      <c r="G127" s="73"/>
    </row>
    <row r="128" spans="1:7" ht="15.6" x14ac:dyDescent="0.3">
      <c r="A128" s="115"/>
      <c r="B128" s="112"/>
      <c r="C128" s="112"/>
      <c r="D128" s="72" t="s">
        <v>579</v>
      </c>
      <c r="E128" s="72"/>
      <c r="F128" s="72"/>
      <c r="G128" s="73"/>
    </row>
    <row r="129" spans="1:7" ht="15.6" x14ac:dyDescent="0.3">
      <c r="A129" s="115"/>
      <c r="B129" s="112"/>
      <c r="C129" s="112"/>
      <c r="D129" s="72" t="s">
        <v>580</v>
      </c>
      <c r="E129" s="72"/>
      <c r="F129" s="72"/>
      <c r="G129" s="73"/>
    </row>
    <row r="130" spans="1:7" ht="15.6" x14ac:dyDescent="0.3">
      <c r="A130" s="115"/>
      <c r="B130" s="112"/>
      <c r="C130" s="112"/>
      <c r="D130" s="72" t="s">
        <v>581</v>
      </c>
      <c r="E130" s="72"/>
      <c r="F130" s="72"/>
      <c r="G130" s="73"/>
    </row>
    <row r="131" spans="1:7" ht="15.6" x14ac:dyDescent="0.3">
      <c r="A131" s="115"/>
      <c r="B131" s="112"/>
      <c r="C131" s="72" t="s">
        <v>99</v>
      </c>
      <c r="D131" s="72"/>
      <c r="E131" s="72"/>
      <c r="F131" s="72"/>
      <c r="G131" s="73"/>
    </row>
    <row r="132" spans="1:7" ht="15.6" x14ac:dyDescent="0.3">
      <c r="A132" s="115"/>
      <c r="B132" s="112"/>
      <c r="C132" s="112" t="s">
        <v>456</v>
      </c>
      <c r="D132" s="72"/>
      <c r="E132" s="72"/>
      <c r="F132" s="72"/>
      <c r="G132" s="73"/>
    </row>
    <row r="133" spans="1:7" ht="15.6" x14ac:dyDescent="0.3">
      <c r="A133" s="115"/>
      <c r="B133" s="112"/>
      <c r="C133" s="112"/>
      <c r="D133" s="72" t="s">
        <v>582</v>
      </c>
      <c r="E133" s="72"/>
      <c r="F133" s="72"/>
      <c r="G133" s="73"/>
    </row>
    <row r="134" spans="1:7" ht="15.6" x14ac:dyDescent="0.3">
      <c r="A134" s="115"/>
      <c r="B134" s="112" t="s">
        <v>100</v>
      </c>
      <c r="C134" s="72"/>
      <c r="D134" s="72"/>
      <c r="E134" s="72"/>
      <c r="F134" s="72"/>
      <c r="G134" s="73"/>
    </row>
    <row r="135" spans="1:7" ht="15.6" x14ac:dyDescent="0.3">
      <c r="A135" s="115"/>
      <c r="B135" s="112"/>
      <c r="C135" s="112" t="s">
        <v>457</v>
      </c>
      <c r="D135" s="72"/>
      <c r="E135" s="72"/>
      <c r="F135" s="72"/>
      <c r="G135" s="73"/>
    </row>
    <row r="136" spans="1:7" ht="15.6" x14ac:dyDescent="0.3">
      <c r="A136" s="115"/>
      <c r="B136" s="112"/>
      <c r="C136" s="112"/>
      <c r="D136" s="72" t="s">
        <v>583</v>
      </c>
      <c r="E136" s="72"/>
      <c r="F136" s="72"/>
      <c r="G136" s="73"/>
    </row>
    <row r="137" spans="1:7" ht="15.6" x14ac:dyDescent="0.3">
      <c r="A137" s="115"/>
      <c r="B137" s="112"/>
      <c r="C137" s="112" t="s">
        <v>458</v>
      </c>
      <c r="D137" s="72"/>
      <c r="E137" s="72"/>
      <c r="F137" s="72"/>
      <c r="G137" s="73"/>
    </row>
    <row r="138" spans="1:7" ht="15.6" x14ac:dyDescent="0.3">
      <c r="A138" s="115"/>
      <c r="B138" s="112"/>
      <c r="C138" s="112"/>
      <c r="D138" s="72" t="s">
        <v>584</v>
      </c>
      <c r="E138" s="72"/>
      <c r="F138" s="72"/>
      <c r="G138" s="73"/>
    </row>
    <row r="139" spans="1:7" ht="15.6" x14ac:dyDescent="0.3">
      <c r="A139" s="115"/>
      <c r="B139" s="112"/>
      <c r="C139" s="112" t="s">
        <v>459</v>
      </c>
      <c r="D139" s="72"/>
      <c r="E139" s="72"/>
      <c r="F139" s="72"/>
      <c r="G139" s="73"/>
    </row>
    <row r="140" spans="1:7" ht="15.6" x14ac:dyDescent="0.3">
      <c r="A140" s="115"/>
      <c r="B140" s="112"/>
      <c r="C140" s="112"/>
      <c r="D140" s="72" t="s">
        <v>585</v>
      </c>
      <c r="E140" s="72"/>
      <c r="F140" s="72"/>
      <c r="G140" s="73"/>
    </row>
    <row r="141" spans="1:7" ht="15.6" x14ac:dyDescent="0.3">
      <c r="A141" s="115"/>
      <c r="B141" s="112"/>
      <c r="C141" s="72" t="s">
        <v>101</v>
      </c>
      <c r="D141" s="72"/>
      <c r="E141" s="72"/>
      <c r="F141" s="72"/>
      <c r="G141" s="73"/>
    </row>
    <row r="142" spans="1:7" ht="15.6" x14ac:dyDescent="0.3">
      <c r="A142" s="115"/>
      <c r="B142" s="112"/>
      <c r="C142" s="72" t="s">
        <v>586</v>
      </c>
      <c r="D142" s="72"/>
      <c r="E142" s="72"/>
      <c r="F142" s="72"/>
      <c r="G142" s="73"/>
    </row>
    <row r="143" spans="1:7" ht="15.6" x14ac:dyDescent="0.3">
      <c r="A143" s="115"/>
      <c r="B143" s="112"/>
      <c r="C143" s="72" t="s">
        <v>587</v>
      </c>
      <c r="D143" s="72"/>
      <c r="E143" s="72"/>
      <c r="F143" s="72"/>
      <c r="G143" s="73"/>
    </row>
    <row r="144" spans="1:7" ht="15.6" x14ac:dyDescent="0.3">
      <c r="A144" s="115"/>
      <c r="B144" s="112" t="s">
        <v>102</v>
      </c>
      <c r="C144" s="72"/>
      <c r="D144" s="72"/>
      <c r="E144" s="72"/>
      <c r="F144" s="72"/>
      <c r="G144" s="73"/>
    </row>
    <row r="145" spans="1:7" ht="15.6" x14ac:dyDescent="0.3">
      <c r="A145" s="115"/>
      <c r="B145" s="112"/>
      <c r="C145" s="112" t="s">
        <v>588</v>
      </c>
      <c r="D145" s="72"/>
      <c r="E145" s="72"/>
      <c r="F145" s="72"/>
      <c r="G145" s="73"/>
    </row>
    <row r="146" spans="1:7" ht="15.6" x14ac:dyDescent="0.3">
      <c r="A146" s="115"/>
      <c r="B146" s="112"/>
      <c r="C146" s="112"/>
      <c r="D146" s="72" t="s">
        <v>460</v>
      </c>
      <c r="E146" s="72"/>
      <c r="F146" s="72"/>
      <c r="G146" s="73"/>
    </row>
    <row r="147" spans="1:7" ht="15.6" x14ac:dyDescent="0.3">
      <c r="A147" s="115"/>
      <c r="B147" s="112"/>
      <c r="C147" s="112"/>
      <c r="D147" s="112" t="s">
        <v>461</v>
      </c>
      <c r="E147" s="72"/>
      <c r="F147" s="72"/>
      <c r="G147" s="73"/>
    </row>
    <row r="148" spans="1:7" ht="15.6" x14ac:dyDescent="0.3">
      <c r="A148" s="115"/>
      <c r="B148" s="112"/>
      <c r="C148" s="112"/>
      <c r="D148" s="112"/>
      <c r="E148" s="72" t="s">
        <v>462</v>
      </c>
      <c r="F148" s="72"/>
      <c r="G148" s="73"/>
    </row>
    <row r="149" spans="1:7" ht="15.6" x14ac:dyDescent="0.3">
      <c r="A149" s="115"/>
      <c r="B149" s="112"/>
      <c r="C149" s="112"/>
      <c r="D149" s="112"/>
      <c r="E149" s="72" t="s">
        <v>463</v>
      </c>
      <c r="F149" s="72"/>
      <c r="G149" s="73"/>
    </row>
    <row r="150" spans="1:7" ht="15.6" x14ac:dyDescent="0.3">
      <c r="A150" s="115"/>
      <c r="B150" s="112"/>
      <c r="C150" s="112" t="s">
        <v>589</v>
      </c>
      <c r="D150" s="72"/>
      <c r="E150" s="72"/>
      <c r="F150" s="72"/>
      <c r="G150" s="73"/>
    </row>
    <row r="151" spans="1:7" ht="15.6" x14ac:dyDescent="0.3">
      <c r="A151" s="115"/>
      <c r="B151" s="112"/>
      <c r="C151" s="112"/>
      <c r="D151" s="72" t="s">
        <v>464</v>
      </c>
      <c r="E151" s="72"/>
      <c r="F151" s="72"/>
      <c r="G151" s="73"/>
    </row>
    <row r="152" spans="1:7" ht="15.6" x14ac:dyDescent="0.3">
      <c r="A152" s="115"/>
      <c r="B152" s="112"/>
      <c r="C152" s="112"/>
      <c r="D152" s="72" t="s">
        <v>465</v>
      </c>
      <c r="E152" s="72"/>
      <c r="F152" s="72"/>
      <c r="G152" s="73"/>
    </row>
    <row r="153" spans="1:7" ht="15.6" x14ac:dyDescent="0.3">
      <c r="A153" s="115"/>
      <c r="B153" s="112"/>
      <c r="C153" s="112"/>
      <c r="D153" s="72" t="s">
        <v>466</v>
      </c>
      <c r="E153" s="72"/>
      <c r="F153" s="72"/>
      <c r="G153" s="73"/>
    </row>
    <row r="154" spans="1:7" ht="15.6" x14ac:dyDescent="0.3">
      <c r="A154" s="115"/>
      <c r="B154" s="112"/>
      <c r="C154" s="112"/>
      <c r="D154" s="72" t="s">
        <v>467</v>
      </c>
      <c r="E154" s="72"/>
      <c r="F154" s="72"/>
      <c r="G154" s="73"/>
    </row>
    <row r="155" spans="1:7" ht="15.6" x14ac:dyDescent="0.3">
      <c r="A155" s="115"/>
      <c r="B155" s="112"/>
      <c r="C155" s="112"/>
      <c r="D155" s="72" t="s">
        <v>468</v>
      </c>
      <c r="E155" s="72"/>
      <c r="F155" s="72"/>
      <c r="G155" s="73"/>
    </row>
    <row r="156" spans="1:7" ht="15.6" x14ac:dyDescent="0.3">
      <c r="A156" s="115"/>
      <c r="B156" s="112"/>
      <c r="C156" s="112"/>
      <c r="D156" s="72" t="s">
        <v>469</v>
      </c>
      <c r="E156" s="72"/>
      <c r="F156" s="72"/>
      <c r="G156" s="73"/>
    </row>
    <row r="157" spans="1:7" ht="15.6" x14ac:dyDescent="0.3">
      <c r="A157" s="115"/>
      <c r="B157" s="112"/>
      <c r="C157" s="112"/>
      <c r="D157" s="72" t="s">
        <v>470</v>
      </c>
      <c r="E157" s="72"/>
      <c r="F157" s="72"/>
      <c r="G157" s="73"/>
    </row>
    <row r="158" spans="1:7" ht="15.6" x14ac:dyDescent="0.3">
      <c r="A158" s="115"/>
      <c r="B158" s="112"/>
      <c r="C158" s="112"/>
      <c r="D158" s="72" t="s">
        <v>471</v>
      </c>
      <c r="E158" s="72"/>
      <c r="F158" s="72"/>
      <c r="G158" s="73"/>
    </row>
    <row r="159" spans="1:7" ht="15.6" x14ac:dyDescent="0.3">
      <c r="A159" s="115"/>
      <c r="B159" s="112"/>
      <c r="C159" s="112"/>
      <c r="D159" s="72" t="s">
        <v>472</v>
      </c>
      <c r="E159" s="72"/>
      <c r="F159" s="72"/>
      <c r="G159" s="73"/>
    </row>
    <row r="160" spans="1:7" ht="15.6" x14ac:dyDescent="0.3">
      <c r="A160" s="115"/>
      <c r="B160" s="112"/>
      <c r="C160" s="112"/>
      <c r="D160" s="72" t="s">
        <v>473</v>
      </c>
      <c r="E160" s="72"/>
      <c r="F160" s="72"/>
      <c r="G160" s="73"/>
    </row>
    <row r="161" spans="1:7" ht="15.6" x14ac:dyDescent="0.3">
      <c r="A161" s="115"/>
      <c r="B161" s="112"/>
      <c r="C161" s="112"/>
      <c r="D161" s="72" t="s">
        <v>474</v>
      </c>
      <c r="E161" s="72"/>
      <c r="F161" s="72"/>
      <c r="G161" s="73"/>
    </row>
    <row r="162" spans="1:7" ht="15.6" x14ac:dyDescent="0.3">
      <c r="A162" s="115"/>
      <c r="B162" s="112"/>
      <c r="C162" s="112"/>
      <c r="D162" s="72" t="s">
        <v>475</v>
      </c>
      <c r="E162" s="72"/>
      <c r="F162" s="72"/>
      <c r="G162" s="73"/>
    </row>
    <row r="163" spans="1:7" ht="15.6" x14ac:dyDescent="0.3">
      <c r="A163" s="115"/>
      <c r="B163" s="112"/>
      <c r="C163" s="112"/>
      <c r="D163" s="72" t="s">
        <v>476</v>
      </c>
      <c r="E163" s="72"/>
      <c r="F163" s="72"/>
      <c r="G163" s="73"/>
    </row>
    <row r="164" spans="1:7" ht="15.6" x14ac:dyDescent="0.3">
      <c r="A164" s="115"/>
      <c r="B164" s="112"/>
      <c r="C164" s="112"/>
      <c r="D164" s="72" t="s">
        <v>477</v>
      </c>
      <c r="E164" s="72"/>
      <c r="F164" s="72"/>
      <c r="G164" s="73"/>
    </row>
    <row r="165" spans="1:7" ht="15.6" x14ac:dyDescent="0.3">
      <c r="A165" s="115"/>
      <c r="B165" s="112"/>
      <c r="C165" s="72" t="s">
        <v>478</v>
      </c>
      <c r="D165" s="72"/>
      <c r="E165" s="72"/>
      <c r="F165" s="72"/>
      <c r="G165" s="73"/>
    </row>
    <row r="166" spans="1:7" ht="15.6" x14ac:dyDescent="0.3">
      <c r="A166" s="115"/>
      <c r="B166" s="112"/>
      <c r="C166" s="72" t="s">
        <v>479</v>
      </c>
      <c r="D166" s="72"/>
      <c r="E166" s="72"/>
      <c r="F166" s="72"/>
      <c r="G166" s="73"/>
    </row>
    <row r="167" spans="1:7" ht="15.6" x14ac:dyDescent="0.3">
      <c r="A167" s="115"/>
      <c r="B167" s="112"/>
      <c r="C167" s="72" t="s">
        <v>480</v>
      </c>
      <c r="D167" s="72"/>
      <c r="E167" s="72"/>
      <c r="F167" s="72"/>
      <c r="G167" s="73"/>
    </row>
    <row r="168" spans="1:7" ht="15.6" x14ac:dyDescent="0.3">
      <c r="A168" s="115"/>
      <c r="B168" s="112"/>
      <c r="C168" s="72" t="s">
        <v>481</v>
      </c>
      <c r="D168" s="72"/>
      <c r="E168" s="72"/>
      <c r="F168" s="72"/>
      <c r="G168" s="73"/>
    </row>
    <row r="169" spans="1:7" ht="15.6" x14ac:dyDescent="0.3">
      <c r="A169" s="115"/>
      <c r="B169" s="112"/>
      <c r="C169" s="72" t="s">
        <v>103</v>
      </c>
      <c r="D169" s="72"/>
      <c r="E169" s="72"/>
      <c r="F169" s="72"/>
      <c r="G169" s="73"/>
    </row>
    <row r="170" spans="1:7" ht="15.6" x14ac:dyDescent="0.3">
      <c r="A170" s="115"/>
      <c r="B170" s="112"/>
      <c r="C170" s="112" t="s">
        <v>482</v>
      </c>
      <c r="D170" s="72"/>
      <c r="E170" s="72"/>
      <c r="F170" s="72"/>
      <c r="G170" s="73"/>
    </row>
    <row r="171" spans="1:7" ht="15.6" x14ac:dyDescent="0.3">
      <c r="A171" s="115"/>
      <c r="B171" s="112"/>
      <c r="C171" s="112"/>
      <c r="D171" s="72" t="s">
        <v>590</v>
      </c>
      <c r="E171" s="72"/>
      <c r="F171" s="72"/>
      <c r="G171" s="73"/>
    </row>
    <row r="172" spans="1:7" ht="15.6" x14ac:dyDescent="0.3">
      <c r="A172" s="115"/>
      <c r="B172" s="112"/>
      <c r="C172" s="112"/>
      <c r="D172" s="72" t="s">
        <v>591</v>
      </c>
      <c r="E172" s="72"/>
      <c r="F172" s="72"/>
      <c r="G172" s="73"/>
    </row>
    <row r="173" spans="1:7" ht="15.6" x14ac:dyDescent="0.3">
      <c r="A173" s="115"/>
      <c r="B173" s="112"/>
      <c r="C173" s="72" t="s">
        <v>483</v>
      </c>
      <c r="D173" s="72"/>
      <c r="E173" s="72"/>
      <c r="F173" s="72"/>
      <c r="G173" s="73"/>
    </row>
    <row r="174" spans="1:7" ht="15.6" x14ac:dyDescent="0.3">
      <c r="A174" s="115"/>
      <c r="B174" s="112"/>
      <c r="C174" s="72" t="s">
        <v>484</v>
      </c>
      <c r="D174" s="72"/>
      <c r="E174" s="72"/>
      <c r="F174" s="72"/>
      <c r="G174" s="73"/>
    </row>
    <row r="175" spans="1:7" ht="15.6" x14ac:dyDescent="0.3">
      <c r="A175" s="115"/>
      <c r="B175" s="112"/>
      <c r="C175" s="72" t="s">
        <v>485</v>
      </c>
      <c r="D175" s="72"/>
      <c r="E175" s="72"/>
      <c r="F175" s="72"/>
      <c r="G175" s="73"/>
    </row>
    <row r="176" spans="1:7" ht="15.6" x14ac:dyDescent="0.3">
      <c r="A176" s="115"/>
      <c r="B176" s="112"/>
      <c r="C176" s="72" t="s">
        <v>486</v>
      </c>
      <c r="D176" s="72"/>
      <c r="E176" s="72"/>
      <c r="F176" s="72"/>
      <c r="G176" s="73"/>
    </row>
    <row r="177" spans="1:7" ht="15.6" x14ac:dyDescent="0.3">
      <c r="A177" s="115"/>
      <c r="B177" s="112"/>
      <c r="C177" s="72" t="s">
        <v>104</v>
      </c>
      <c r="D177" s="72"/>
      <c r="E177" s="72"/>
      <c r="F177" s="72"/>
      <c r="G177" s="73"/>
    </row>
    <row r="178" spans="1:7" ht="15.6" x14ac:dyDescent="0.3">
      <c r="A178" s="115"/>
      <c r="B178" s="112"/>
      <c r="C178" s="72" t="s">
        <v>487</v>
      </c>
      <c r="D178" s="72"/>
      <c r="E178" s="72"/>
      <c r="F178" s="72"/>
      <c r="G178" s="73"/>
    </row>
    <row r="179" spans="1:7" ht="15.6" x14ac:dyDescent="0.3">
      <c r="A179" s="115"/>
      <c r="B179" s="112"/>
      <c r="C179" s="72" t="s">
        <v>488</v>
      </c>
      <c r="D179" s="72"/>
      <c r="E179" s="72"/>
      <c r="F179" s="72"/>
      <c r="G179" s="73"/>
    </row>
    <row r="180" spans="1:7" ht="15.6" x14ac:dyDescent="0.3">
      <c r="A180" s="115"/>
      <c r="B180" s="112"/>
      <c r="C180" s="72" t="s">
        <v>489</v>
      </c>
      <c r="D180" s="72"/>
      <c r="E180" s="72"/>
      <c r="F180" s="72"/>
      <c r="G180" s="73"/>
    </row>
    <row r="181" spans="1:7" ht="15.6" x14ac:dyDescent="0.3">
      <c r="A181" s="115"/>
      <c r="B181" s="112"/>
      <c r="C181" s="72" t="s">
        <v>490</v>
      </c>
      <c r="D181" s="72"/>
      <c r="E181" s="72"/>
      <c r="F181" s="72"/>
      <c r="G181" s="73"/>
    </row>
    <row r="182" spans="1:7" ht="16.2" customHeight="1" x14ac:dyDescent="0.3">
      <c r="A182" s="116"/>
      <c r="B182" s="118"/>
      <c r="C182" s="71" t="s">
        <v>491</v>
      </c>
      <c r="D182" s="71"/>
      <c r="E182" s="71"/>
      <c r="F182" s="71"/>
      <c r="G182" s="84"/>
    </row>
    <row r="183" spans="1:7" ht="15.6" x14ac:dyDescent="0.3">
      <c r="A183" s="115" t="s">
        <v>105</v>
      </c>
      <c r="B183" s="72"/>
      <c r="C183" s="72"/>
      <c r="D183" s="72"/>
      <c r="E183" s="72"/>
      <c r="F183" s="72"/>
      <c r="G183" s="73"/>
    </row>
    <row r="184" spans="1:7" ht="15.6" x14ac:dyDescent="0.3">
      <c r="A184" s="115"/>
      <c r="B184" s="112" t="s">
        <v>106</v>
      </c>
      <c r="C184" s="72"/>
      <c r="D184" s="72"/>
      <c r="E184" s="72"/>
      <c r="F184" s="72"/>
      <c r="G184" s="73"/>
    </row>
    <row r="185" spans="1:7" ht="15.6" x14ac:dyDescent="0.3">
      <c r="A185" s="115"/>
      <c r="B185" s="112"/>
      <c r="C185" s="72" t="s">
        <v>492</v>
      </c>
      <c r="D185" s="72"/>
      <c r="E185" s="72"/>
      <c r="F185" s="72"/>
      <c r="G185" s="73"/>
    </row>
    <row r="186" spans="1:7" ht="15.6" x14ac:dyDescent="0.3">
      <c r="A186" s="115"/>
      <c r="B186" s="112"/>
      <c r="C186" s="72" t="s">
        <v>493</v>
      </c>
      <c r="D186" s="72"/>
      <c r="E186" s="72"/>
      <c r="F186" s="72"/>
      <c r="G186" s="73"/>
    </row>
    <row r="187" spans="1:7" ht="15.6" x14ac:dyDescent="0.3">
      <c r="A187" s="115"/>
      <c r="B187" s="112"/>
      <c r="C187" s="72" t="s">
        <v>729</v>
      </c>
      <c r="D187" s="72"/>
      <c r="E187" s="72"/>
      <c r="F187" s="72"/>
      <c r="G187" s="73"/>
    </row>
    <row r="188" spans="1:7" ht="15.6" x14ac:dyDescent="0.3">
      <c r="A188" s="115"/>
      <c r="B188" s="112"/>
      <c r="C188" s="72" t="s">
        <v>494</v>
      </c>
      <c r="D188" s="72"/>
      <c r="E188" s="72"/>
      <c r="F188" s="72"/>
      <c r="G188" s="73"/>
    </row>
    <row r="189" spans="1:7" ht="15.6" x14ac:dyDescent="0.3">
      <c r="A189" s="115"/>
      <c r="B189" s="112" t="s">
        <v>107</v>
      </c>
      <c r="C189" s="72"/>
      <c r="D189" s="72"/>
      <c r="E189" s="72"/>
      <c r="F189" s="72"/>
      <c r="G189" s="73"/>
    </row>
    <row r="190" spans="1:7" ht="15.6" x14ac:dyDescent="0.3">
      <c r="A190" s="115"/>
      <c r="B190" s="112"/>
      <c r="C190" s="112" t="s">
        <v>110</v>
      </c>
      <c r="D190" s="72"/>
      <c r="E190" s="72"/>
      <c r="F190" s="72"/>
      <c r="G190" s="73"/>
    </row>
    <row r="191" spans="1:7" ht="15.6" x14ac:dyDescent="0.3">
      <c r="A191" s="115"/>
      <c r="B191" s="112"/>
      <c r="C191" s="112"/>
      <c r="D191" s="72" t="s">
        <v>592</v>
      </c>
      <c r="E191" s="72"/>
      <c r="F191" s="72"/>
      <c r="G191" s="73"/>
    </row>
    <row r="192" spans="1:7" ht="15.6" x14ac:dyDescent="0.3">
      <c r="A192" s="115"/>
      <c r="B192" s="112"/>
      <c r="C192" s="112"/>
      <c r="D192" s="72" t="s">
        <v>593</v>
      </c>
      <c r="E192" s="72"/>
      <c r="F192" s="72"/>
      <c r="G192" s="73"/>
    </row>
    <row r="193" spans="1:7" ht="15.6" x14ac:dyDescent="0.3">
      <c r="A193" s="115"/>
      <c r="B193" s="112"/>
      <c r="C193" s="112"/>
      <c r="D193" s="72" t="s">
        <v>594</v>
      </c>
      <c r="E193" s="72"/>
      <c r="F193" s="72"/>
      <c r="G193" s="73"/>
    </row>
    <row r="194" spans="1:7" ht="15.6" x14ac:dyDescent="0.3">
      <c r="A194" s="115"/>
      <c r="B194" s="112"/>
      <c r="C194" s="112"/>
      <c r="D194" s="72" t="s">
        <v>595</v>
      </c>
      <c r="E194" s="72"/>
      <c r="F194" s="72"/>
      <c r="G194" s="73"/>
    </row>
    <row r="195" spans="1:7" ht="15.6" x14ac:dyDescent="0.3">
      <c r="A195" s="115"/>
      <c r="B195" s="112"/>
      <c r="C195" s="112" t="s">
        <v>495</v>
      </c>
      <c r="D195" s="72"/>
      <c r="E195" s="72"/>
      <c r="F195" s="72"/>
      <c r="G195" s="73"/>
    </row>
    <row r="196" spans="1:7" ht="15.6" x14ac:dyDescent="0.3">
      <c r="A196" s="115"/>
      <c r="B196" s="112"/>
      <c r="C196" s="112"/>
      <c r="D196" s="72" t="s">
        <v>596</v>
      </c>
      <c r="E196" s="72"/>
      <c r="F196" s="72"/>
      <c r="G196" s="73"/>
    </row>
    <row r="197" spans="1:7" ht="15.6" x14ac:dyDescent="0.3">
      <c r="A197" s="115"/>
      <c r="B197" s="112"/>
      <c r="C197" s="112"/>
      <c r="D197" s="72" t="s">
        <v>597</v>
      </c>
      <c r="E197" s="72"/>
      <c r="F197" s="72"/>
      <c r="G197" s="73"/>
    </row>
    <row r="198" spans="1:7" ht="15.6" x14ac:dyDescent="0.3">
      <c r="A198" s="115"/>
      <c r="B198" s="112"/>
      <c r="C198" s="112"/>
      <c r="D198" s="72" t="s">
        <v>598</v>
      </c>
      <c r="E198" s="72"/>
      <c r="F198" s="72"/>
      <c r="G198" s="73"/>
    </row>
    <row r="199" spans="1:7" ht="16.2" customHeight="1" thickBot="1" x14ac:dyDescent="0.35">
      <c r="A199" s="117"/>
      <c r="B199" s="119"/>
      <c r="C199" s="85" t="s">
        <v>496</v>
      </c>
      <c r="D199" s="85"/>
      <c r="E199" s="85"/>
      <c r="F199" s="85"/>
      <c r="G199" s="86"/>
    </row>
    <row r="200" spans="1:7" ht="16.2" customHeight="1" thickTop="1" thickBot="1" x14ac:dyDescent="0.35">
      <c r="A200" s="81">
        <f t="shared" ref="A200:G200" si="0">COUNTA(A2:A199)</f>
        <v>3</v>
      </c>
      <c r="B200" s="82">
        <f t="shared" si="0"/>
        <v>8</v>
      </c>
      <c r="C200" s="82">
        <f t="shared" si="0"/>
        <v>57</v>
      </c>
      <c r="D200" s="82">
        <f t="shared" si="0"/>
        <v>70</v>
      </c>
      <c r="E200" s="82">
        <f t="shared" si="0"/>
        <v>29</v>
      </c>
      <c r="F200" s="82">
        <f t="shared" si="0"/>
        <v>16</v>
      </c>
      <c r="G200" s="83">
        <f t="shared" si="0"/>
        <v>15</v>
      </c>
    </row>
  </sheetData>
  <mergeCells count="47">
    <mergeCell ref="A2:A122"/>
    <mergeCell ref="B3:B98"/>
    <mergeCell ref="B99:B117"/>
    <mergeCell ref="B118:B122"/>
    <mergeCell ref="D6:D10"/>
    <mergeCell ref="D11:D37"/>
    <mergeCell ref="D38:D46"/>
    <mergeCell ref="D51:D52"/>
    <mergeCell ref="C4:C85"/>
    <mergeCell ref="B124:B133"/>
    <mergeCell ref="A123:A182"/>
    <mergeCell ref="A183:A199"/>
    <mergeCell ref="B134:B143"/>
    <mergeCell ref="B144:B182"/>
    <mergeCell ref="B184:B188"/>
    <mergeCell ref="B189:B199"/>
    <mergeCell ref="C190:C194"/>
    <mergeCell ref="C195:C198"/>
    <mergeCell ref="D55:D66"/>
    <mergeCell ref="D67:D70"/>
    <mergeCell ref="D71:D72"/>
    <mergeCell ref="D75:D76"/>
    <mergeCell ref="D80:D83"/>
    <mergeCell ref="D147:D149"/>
    <mergeCell ref="C125:C130"/>
    <mergeCell ref="C132:C133"/>
    <mergeCell ref="C135:C136"/>
    <mergeCell ref="C137:C138"/>
    <mergeCell ref="C139:C140"/>
    <mergeCell ref="C145:C149"/>
    <mergeCell ref="C103:C104"/>
    <mergeCell ref="C110:C112"/>
    <mergeCell ref="F14:F25"/>
    <mergeCell ref="F26:F29"/>
    <mergeCell ref="F61:F62"/>
    <mergeCell ref="C150:C164"/>
    <mergeCell ref="C170:C172"/>
    <mergeCell ref="C119:C122"/>
    <mergeCell ref="C90:C94"/>
    <mergeCell ref="C95:C97"/>
    <mergeCell ref="C86:C87"/>
    <mergeCell ref="E65:E66"/>
    <mergeCell ref="E44:E46"/>
    <mergeCell ref="E12:E34"/>
    <mergeCell ref="E35:E37"/>
    <mergeCell ref="E39:E41"/>
    <mergeCell ref="E60:E62"/>
  </mergeCells>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E6F6EB-2F50-4DE2-8186-BB44297F3F2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data</vt:lpstr>
      <vt:lpstr>personal_library_catalogue</vt:lpstr>
      <vt:lpstr>data_validation</vt:lpstr>
      <vt:lpstr>book_category_classification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LUIGI PICCIRILLO</dc:creator>
  <cp:lastModifiedBy>LUIGI PICCIRILLO</cp:lastModifiedBy>
  <dcterms:created xsi:type="dcterms:W3CDTF">2024-07-27T15:54:11Z</dcterms:created>
  <dcterms:modified xsi:type="dcterms:W3CDTF">2026-07-31T18:46:39Z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Enabled">
    <vt:lpwstr>true</vt:lpwstr>
  </property>
  <property fmtid="{D5CDD505-2E9C-101B-9397-08002B2CF9AE}" pid="3" name="MSIP_Label_2ad0b24d-6422-44b0-b3de-abb3a9e8c81a_SetDate">
    <vt:lpwstr>2026-07-30T19:32:45Z</vt:lpwstr>
  </property>
  <property fmtid="{D5CDD505-2E9C-101B-9397-08002B2CF9AE}" pid="4" name="MSIP_Label_2ad0b24d-6422-44b0-b3de-abb3a9e8c81a_Method">
    <vt:lpwstr>Standard</vt:lpwstr>
  </property>
  <property fmtid="{D5CDD505-2E9C-101B-9397-08002B2CF9AE}" pid="5" name="MSIP_Label_2ad0b24d-6422-44b0-b3de-abb3a9e8c81a_Name">
    <vt:lpwstr>defa4170-0d19-0005-0004-bc88714345d2</vt:lpwstr>
  </property>
  <property fmtid="{D5CDD505-2E9C-101B-9397-08002B2CF9AE}" pid="6" name="MSIP_Label_2ad0b24d-6422-44b0-b3de-abb3a9e8c81a_SiteId">
    <vt:lpwstr>2fcfe26a-bb62-46b0-b1e3-28f9da0c45fd</vt:lpwstr>
  </property>
  <property fmtid="{D5CDD505-2E9C-101B-9397-08002B2CF9AE}" pid="7" name="MSIP_Label_2ad0b24d-6422-44b0-b3de-abb3a9e8c81a_ActionId">
    <vt:lpwstr>87dfff25-e83b-4e67-b06f-53765648c377</vt:lpwstr>
  </property>
  <property fmtid="{D5CDD505-2E9C-101B-9397-08002B2CF9AE}" pid="8" name="MSIP_Label_2ad0b24d-6422-44b0-b3de-abb3a9e8c81a_ContentBits">
    <vt:lpwstr>0</vt:lpwstr>
  </property>
  <property fmtid="{D5CDD505-2E9C-101B-9397-08002B2CF9AE}" pid="9" name="MSIP_Label_2ad0b24d-6422-44b0-b3de-abb3a9e8c81a_Tag">
    <vt:lpwstr>10, 3, 0, 1</vt:lpwstr>
  </property>
</Properties>
</file>